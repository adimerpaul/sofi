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<sst xmlns="http://schemas.openxmlformats.org/spreadsheetml/2006/main" uniqueCount="20">
  <si>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C E R D O S</t>
  </si>
  <si>
    <t>NOMBRE VENDEDOR :</t>
  </si>
  <si>
    <t>RUBEN CABALLERO</t>
  </si>
  <si>
    <t>FECHA:</t>
  </si>
  <si>
    <t>2026-08-21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</si>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</sst>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/>
      <c r="C6" s="12"/>
      <c r="D6" s="13">
        <f>+E6+F6+(IF(G6=(0.5),0.275,0))+H6+(I6/100)</f>
        <v>0</v>
      </c>
      <c r="E6" s="14"/>
      <c r="F6" s="15"/>
      <c r="G6" s="16"/>
      <c r="H6" s="14"/>
      <c r="I6" s="14"/>
      <c r="J6" s="17"/>
      <c r="K6" s="29"/>
      <c r="L6" s="30"/>
      <c r="M6" s="30"/>
      <c r="N6" s="30"/>
      <c r="O6" s="30"/>
      <c r="P6" s="30"/>
      <c r="Q6" s="30"/>
      <c r="R6" s="30"/>
      <c r="S6" s="41"/>
      <c r="T6" s="31"/>
      <c r="U6" s="17"/>
      <c r="V6" s="17"/>
      <c r="W6" s="17"/>
      <c r="X6" s="17"/>
    </row>
    <row r="7" spans="1:24" customHeight="1" ht="24.95" s="25" customFormat="1">
      <c r="A7" s="27">
        <f>+A6+1</f>
        <v>2</v>
      </c>
      <c r="B7" s="18"/>
      <c r="C7" s="19"/>
      <c r="D7" s="20">
        <f>+E7+F7+(IF(G7=(0.5),0.275,0))+H7+(I7/100)</f>
        <v>0</v>
      </c>
      <c r="E7" s="21"/>
      <c r="F7" s="22"/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/>
      <c r="V7" s="24"/>
      <c r="W7" s="24"/>
      <c r="X7" s="24"/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0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19</v>
      </c>
      <c r="C32" s="6"/>
      <c r="D32" s="8">
        <f>IF(K30&gt;0.54,(INT(K29)+1)+(K30-0.55),K29)</f>
        <v>0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