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<sst xmlns="http://schemas.openxmlformats.org/spreadsheetml/2006/main" uniqueCount="83">
  <si>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P E D  I D O S    D E    P O L L O S</t>
  </si>
  <si>
    <t xml:space="preserve">Nombre Vendedor: </t>
  </si>
  <si>
    <t>JUAN RIOS</t>
  </si>
  <si>
    <t>FECHA :</t>
  </si>
  <si>
    <t>2026-09-09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</si>
  <si>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</si>
  <si>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</si>
  <si>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</si>
  <si>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</si>
  <si>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</si>
  <si>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</si>
  <si>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</si>
  <si>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</si>
  <si>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</si>
  <si>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</si>
  <si>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</si>
  <si>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</si>
  <si>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</si>
  <si>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</si>
  <si>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</si>
  <si>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</si>
  <si>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</si>
  <si>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</si>
  <si>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</si>
  <si>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</si>
  <si>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</si>
  <si>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</si>
  <si>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</si>
  <si>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</si>
  <si>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</si>
  <si>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</si>
  <si>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SONIA MACIAS MITMA</t>
  </si>
  <si>
    <t>si</t>
  </si>
  <si>
    <t>Con menudo de de 1.9 K</t>
  </si>
  <si>
    <t>NO</t>
  </si>
  <si>
    <t>MARIO PEDRO LUIZAGA CORRALES</t>
  </si>
  <si>
    <t>no</t>
  </si>
  <si>
    <t>LOS MÁS GRANDES</t>
  </si>
  <si>
    <t>SI</t>
  </si>
  <si>
    <t>GUALBERTO JUAN VILLARROEL VALERIANO</t>
  </si>
  <si>
    <t>FELIX HURTADO TICONA</t>
  </si>
  <si>
    <t>3KG</t>
  </si>
  <si>
    <t>2KG</t>
  </si>
  <si>
    <t>Solo hígado</t>
  </si>
  <si>
    <t>ANABEL VILLA MEJIA</t>
  </si>
  <si>
    <t>10KG</t>
  </si>
  <si>
    <t>ALEX ORTUÑO COPA</t>
  </si>
  <si>
    <t>Con menudo de 2.2 kilos</t>
  </si>
  <si>
    <t>SE RECOGE</t>
  </si>
  <si>
    <t>ROBERTO MITMA GUTIERREZ</t>
  </si>
  <si>
    <t>Con menudo de 2.1 kilos</t>
  </si>
  <si>
    <t>NORMA MARTHA AVILA IBARDE</t>
  </si>
  <si>
    <t>Brasa de 2.1 kilos</t>
  </si>
  <si>
    <t>DEYSI CORANI CALLE</t>
  </si>
  <si>
    <t>20KG</t>
  </si>
  <si>
    <t>15KG</t>
  </si>
  <si>
    <t>CAMILA ROSARIO VELA CHOQUE</t>
  </si>
  <si>
    <t>MARUJA MAMANI MANCILLA</t>
  </si>
  <si>
    <t>ERIKA LUPE FERNANDEZ</t>
  </si>
  <si>
    <t>60KG</t>
  </si>
  <si>
    <t>2 cjs</t>
  </si>
  <si>
    <t>RUTH MIRIAM CHOQUE CONDORI</t>
  </si>
  <si>
    <t>ELIZABETH CHOQUE CONDORI</t>
  </si>
  <si>
    <t>ROSMERY RAMIREZ SUAREZ</t>
  </si>
  <si>
    <t>30KG</t>
  </si>
  <si>
    <t>DEYSI SOLIZ SOLIZ</t>
  </si>
  <si>
    <t>40KG</t>
  </si>
  <si>
    <t>MARIBEL OROSCO TORREZ</t>
  </si>
  <si>
    <t>7KG</t>
  </si>
  <si>
    <t>ZULMA AYDE COLQUE HUARACHI</t>
  </si>
  <si>
    <t>50U</t>
  </si>
  <si>
    <t>DIGNA AJUACHO</t>
  </si>
  <si>
    <t>BASILIA CHOQUE MAMANI</t>
  </si>
  <si>
    <t>Sin cabeza</t>
  </si>
  <si>
    <t>50KG</t>
  </si>
  <si>
    <t>Pata y molleja</t>
  </si>
  <si>
    <t>JAVIER CHOQUE GARCIA</t>
  </si>
  <si>
    <t>1 cjs</t>
  </si>
  <si>
    <t>DELIA COLQUE CHOQUE</t>
  </si>
  <si>
    <t>ISRAEL CARLOS FERAUDI GUZMAN</t>
  </si>
  <si>
    <t>Brasa de 1.8 K ENTREGAR EN LA 6 DE OCTUBRE 10:00 (BIEN CORTADO)</t>
  </si>
  <si>
    <t>Brasa de 1.8 K ENTREGAR EN LA POTOSI 10:00 (BIEN CORTADO)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</si>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</sst>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>
        <v>6</v>
      </c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 t="s">
        <v>33</v>
      </c>
      <c r="AF4" s="49" t="s">
        <v>34</v>
      </c>
      <c r="AG4" s="49"/>
      <c r="AH4" s="49"/>
    </row>
    <row r="5" spans="1:34" customHeight="1" ht="15.75">
      <c r="A5" s="55">
        <v>2</v>
      </c>
      <c r="B5" s="14" t="s">
        <v>35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>
        <v>9</v>
      </c>
      <c r="S5" s="64"/>
      <c r="T5" s="14"/>
      <c r="U5" s="14"/>
      <c r="V5" s="14"/>
      <c r="W5" s="14"/>
      <c r="X5" s="14"/>
      <c r="Y5" s="14"/>
      <c r="Z5" s="14"/>
      <c r="AA5" s="24"/>
      <c r="AB5" s="29">
        <v>3</v>
      </c>
      <c r="AC5" s="14"/>
      <c r="AD5" s="14" t="s">
        <v>36</v>
      </c>
      <c r="AE5" s="50" t="s">
        <v>37</v>
      </c>
      <c r="AF5" s="50" t="s">
        <v>38</v>
      </c>
      <c r="AG5" s="50"/>
      <c r="AH5" s="50"/>
    </row>
    <row r="6" spans="1:34" customHeight="1" ht="15.75">
      <c r="A6" s="56">
        <v>3</v>
      </c>
      <c r="B6" s="15" t="s">
        <v>39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>
        <v>3</v>
      </c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>
        <v>5</v>
      </c>
      <c r="AC6" s="15"/>
      <c r="AD6" s="15" t="s">
        <v>32</v>
      </c>
      <c r="AE6" s="51"/>
      <c r="AF6" s="51" t="s">
        <v>34</v>
      </c>
      <c r="AG6" s="51"/>
      <c r="AH6" s="51"/>
    </row>
    <row r="7" spans="1:34" customHeight="1" ht="15.75">
      <c r="A7" s="55">
        <v>4</v>
      </c>
      <c r="B7" s="14" t="s">
        <v>40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>
        <v>3</v>
      </c>
      <c r="O7" s="24"/>
      <c r="P7" s="35"/>
      <c r="Q7" s="8"/>
      <c r="R7" s="35"/>
      <c r="S7" s="64"/>
      <c r="T7" s="14"/>
      <c r="U7" s="14" t="s">
        <v>41</v>
      </c>
      <c r="V7" s="14"/>
      <c r="W7" s="14"/>
      <c r="X7" s="14"/>
      <c r="Y7" s="14"/>
      <c r="Z7" s="14"/>
      <c r="AA7" s="24" t="s">
        <v>42</v>
      </c>
      <c r="AB7" s="29">
        <v>3</v>
      </c>
      <c r="AC7" s="14">
        <v>3</v>
      </c>
      <c r="AD7" s="14" t="s">
        <v>32</v>
      </c>
      <c r="AE7" s="50" t="s">
        <v>43</v>
      </c>
      <c r="AF7" s="50" t="s">
        <v>34</v>
      </c>
      <c r="AG7" s="50"/>
      <c r="AH7" s="50"/>
    </row>
    <row r="8" spans="1:34" customHeight="1" ht="15.75">
      <c r="A8" s="56">
        <v>5</v>
      </c>
      <c r="B8" s="15" t="s">
        <v>44</v>
      </c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 t="s">
        <v>42</v>
      </c>
      <c r="X8" s="15" t="s">
        <v>45</v>
      </c>
      <c r="Y8" s="15"/>
      <c r="Z8" s="15"/>
      <c r="AA8" s="25"/>
      <c r="AB8" s="30"/>
      <c r="AC8" s="15">
        <v>3</v>
      </c>
      <c r="AD8" s="15" t="s">
        <v>32</v>
      </c>
      <c r="AE8" s="51"/>
      <c r="AF8" s="51" t="s">
        <v>34</v>
      </c>
      <c r="AG8" s="51"/>
      <c r="AH8" s="51"/>
    </row>
    <row r="9" spans="1:34" customHeight="1" ht="15.75">
      <c r="A9" s="55">
        <v>6</v>
      </c>
      <c r="B9" s="14" t="s">
        <v>46</v>
      </c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>
        <v>3</v>
      </c>
      <c r="T9" s="14"/>
      <c r="U9" s="14"/>
      <c r="V9" s="14"/>
      <c r="W9" s="14"/>
      <c r="X9" s="14"/>
      <c r="Y9" s="14"/>
      <c r="Z9" s="14"/>
      <c r="AA9" s="24"/>
      <c r="AB9" s="29">
        <v>5</v>
      </c>
      <c r="AC9" s="14"/>
      <c r="AD9" s="14" t="s">
        <v>32</v>
      </c>
      <c r="AE9" s="50" t="s">
        <v>47</v>
      </c>
      <c r="AF9" s="50" t="s">
        <v>34</v>
      </c>
      <c r="AG9" s="50" t="s">
        <v>48</v>
      </c>
      <c r="AH9" s="50"/>
    </row>
    <row r="10" spans="1:34" customHeight="1" ht="15.75">
      <c r="A10" s="56">
        <v>7</v>
      </c>
      <c r="B10" s="15" t="s">
        <v>49</v>
      </c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>
        <v>12</v>
      </c>
      <c r="T10" s="15"/>
      <c r="U10" s="15"/>
      <c r="V10" s="15"/>
      <c r="W10" s="15"/>
      <c r="X10" s="15"/>
      <c r="Y10" s="15"/>
      <c r="Z10" s="15"/>
      <c r="AA10" s="25"/>
      <c r="AB10" s="30">
        <v>5</v>
      </c>
      <c r="AC10" s="15"/>
      <c r="AD10" s="15" t="s">
        <v>32</v>
      </c>
      <c r="AE10" s="51" t="s">
        <v>50</v>
      </c>
      <c r="AF10" s="51" t="s">
        <v>34</v>
      </c>
      <c r="AG10" s="51"/>
      <c r="AH10" s="51"/>
    </row>
    <row r="11" spans="1:34" customHeight="1" ht="15.75">
      <c r="A11" s="55">
        <v>8</v>
      </c>
      <c r="B11" s="14" t="s">
        <v>51</v>
      </c>
      <c r="C11" s="8"/>
      <c r="D11" s="35"/>
      <c r="E11" s="24"/>
      <c r="F11" s="35">
        <v>10</v>
      </c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>
        <v>1</v>
      </c>
      <c r="AC11" s="14"/>
      <c r="AD11" s="14" t="s">
        <v>32</v>
      </c>
      <c r="AE11" s="50" t="s">
        <v>52</v>
      </c>
      <c r="AF11" s="50" t="s">
        <v>34</v>
      </c>
      <c r="AG11" s="50"/>
      <c r="AH11" s="50"/>
    </row>
    <row r="12" spans="1:34" customHeight="1" ht="15.75">
      <c r="A12" s="56">
        <v>9</v>
      </c>
      <c r="B12" s="15" t="s">
        <v>53</v>
      </c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 t="s">
        <v>54</v>
      </c>
      <c r="V12" s="15"/>
      <c r="W12" s="15"/>
      <c r="X12" s="15"/>
      <c r="Y12" s="15"/>
      <c r="Z12" s="15" t="s">
        <v>55</v>
      </c>
      <c r="AA12" s="25"/>
      <c r="AB12" s="30"/>
      <c r="AC12" s="15">
        <v>3</v>
      </c>
      <c r="AD12" s="15" t="s">
        <v>32</v>
      </c>
      <c r="AE12" s="51"/>
      <c r="AF12" s="51" t="s">
        <v>34</v>
      </c>
      <c r="AG12" s="51"/>
      <c r="AH12" s="51"/>
    </row>
    <row r="13" spans="1:34" customHeight="1" ht="15.75">
      <c r="A13" s="55">
        <v>10</v>
      </c>
      <c r="B13" s="14" t="s">
        <v>56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 t="s">
        <v>41</v>
      </c>
      <c r="W13" s="14" t="s">
        <v>41</v>
      </c>
      <c r="X13" s="14"/>
      <c r="Y13" s="14"/>
      <c r="Z13" s="14"/>
      <c r="AA13" s="24"/>
      <c r="AB13" s="29"/>
      <c r="AC13" s="14">
        <v>3</v>
      </c>
      <c r="AD13" s="14" t="s">
        <v>32</v>
      </c>
      <c r="AE13" s="50"/>
      <c r="AF13" s="50" t="s">
        <v>34</v>
      </c>
      <c r="AG13" s="50"/>
      <c r="AH13" s="50"/>
    </row>
    <row r="14" spans="1:34" customHeight="1" ht="15.75">
      <c r="A14" s="56">
        <v>11</v>
      </c>
      <c r="B14" s="15" t="s">
        <v>57</v>
      </c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 t="s">
        <v>55</v>
      </c>
      <c r="V14" s="15"/>
      <c r="W14" s="15"/>
      <c r="X14" s="15"/>
      <c r="Y14" s="15"/>
      <c r="Z14" s="15"/>
      <c r="AA14" s="25"/>
      <c r="AB14" s="30"/>
      <c r="AC14" s="61">
        <v>3</v>
      </c>
      <c r="AD14" s="15" t="s">
        <v>32</v>
      </c>
      <c r="AE14" s="51"/>
      <c r="AF14" s="51" t="s">
        <v>34</v>
      </c>
      <c r="AG14" s="51"/>
      <c r="AH14" s="51"/>
    </row>
    <row r="15" spans="1:34" customHeight="1" ht="15.75">
      <c r="A15" s="55">
        <v>12</v>
      </c>
      <c r="B15" s="14" t="s">
        <v>58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 t="s">
        <v>59</v>
      </c>
      <c r="V15" s="14"/>
      <c r="W15" s="14"/>
      <c r="X15" s="14"/>
      <c r="Y15" s="14"/>
      <c r="Z15" s="14"/>
      <c r="AA15" s="24"/>
      <c r="AB15" s="29"/>
      <c r="AC15" s="14">
        <v>12</v>
      </c>
      <c r="AD15" s="14" t="s">
        <v>32</v>
      </c>
      <c r="AE15" s="50" t="s">
        <v>60</v>
      </c>
      <c r="AF15" s="50" t="s">
        <v>34</v>
      </c>
      <c r="AG15" s="50"/>
      <c r="AH15" s="50"/>
    </row>
    <row r="16" spans="1:34" customHeight="1" ht="15.75">
      <c r="A16" s="56">
        <v>13</v>
      </c>
      <c r="B16" s="15" t="s">
        <v>61</v>
      </c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 t="s">
        <v>59</v>
      </c>
      <c r="V16" s="15"/>
      <c r="W16" s="15"/>
      <c r="X16" s="15"/>
      <c r="Y16" s="15"/>
      <c r="Z16" s="15"/>
      <c r="AA16" s="25"/>
      <c r="AB16" s="30"/>
      <c r="AC16" s="15">
        <v>12</v>
      </c>
      <c r="AD16" s="15" t="s">
        <v>32</v>
      </c>
      <c r="AE16" s="51"/>
      <c r="AF16" s="51" t="s">
        <v>34</v>
      </c>
      <c r="AG16" s="51"/>
      <c r="AH16" s="51"/>
    </row>
    <row r="17" spans="1:34" customHeight="1" ht="15.75">
      <c r="A17" s="55">
        <v>14</v>
      </c>
      <c r="B17" s="14" t="s">
        <v>62</v>
      </c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 t="s">
        <v>45</v>
      </c>
      <c r="V17" s="14"/>
      <c r="W17" s="14"/>
      <c r="X17" s="14"/>
      <c r="Y17" s="14"/>
      <c r="Z17" s="14"/>
      <c r="AA17" s="24"/>
      <c r="AB17" s="29"/>
      <c r="AC17" s="14">
        <v>3</v>
      </c>
      <c r="AD17" s="14" t="s">
        <v>32</v>
      </c>
      <c r="AE17" s="50"/>
      <c r="AF17" s="50" t="s">
        <v>34</v>
      </c>
      <c r="AG17" s="50"/>
      <c r="AH17" s="50"/>
    </row>
    <row r="18" spans="1:34" customHeight="1" ht="15.75">
      <c r="A18" s="56">
        <v>15</v>
      </c>
      <c r="B18" s="15" t="s">
        <v>63</v>
      </c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 t="s">
        <v>64</v>
      </c>
      <c r="X18" s="15"/>
      <c r="Y18" s="15"/>
      <c r="Z18" s="15"/>
      <c r="AA18" s="25"/>
      <c r="AB18" s="30"/>
      <c r="AC18" s="15">
        <v>10</v>
      </c>
      <c r="AD18" s="15" t="s">
        <v>32</v>
      </c>
      <c r="AE18" s="51"/>
      <c r="AF18" s="51" t="s">
        <v>34</v>
      </c>
      <c r="AG18" s="51"/>
      <c r="AH18" s="51"/>
    </row>
    <row r="19" spans="1:34" customHeight="1" ht="15.75">
      <c r="A19" s="55">
        <v>16</v>
      </c>
      <c r="B19" s="14" t="s">
        <v>65</v>
      </c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 t="s">
        <v>66</v>
      </c>
      <c r="V19" s="14"/>
      <c r="W19" s="14"/>
      <c r="X19" s="14"/>
      <c r="Y19" s="14"/>
      <c r="Z19" s="14"/>
      <c r="AA19" s="24"/>
      <c r="AB19" s="29"/>
      <c r="AC19" s="14">
        <v>3</v>
      </c>
      <c r="AD19" s="14" t="s">
        <v>32</v>
      </c>
      <c r="AE19" s="50"/>
      <c r="AF19" s="50" t="s">
        <v>34</v>
      </c>
      <c r="AG19" s="50"/>
      <c r="AH19" s="50"/>
    </row>
    <row r="20" spans="1:34" customHeight="1" ht="15.75">
      <c r="A20" s="56">
        <v>17</v>
      </c>
      <c r="B20" s="15" t="s">
        <v>67</v>
      </c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 t="s">
        <v>68</v>
      </c>
      <c r="U20" s="15" t="s">
        <v>42</v>
      </c>
      <c r="V20" s="15"/>
      <c r="W20" s="15"/>
      <c r="X20" s="15"/>
      <c r="Y20" s="15"/>
      <c r="Z20" s="15"/>
      <c r="AA20" s="25"/>
      <c r="AB20" s="30"/>
      <c r="AC20" s="15">
        <v>3</v>
      </c>
      <c r="AD20" s="15" t="s">
        <v>32</v>
      </c>
      <c r="AE20" s="51"/>
      <c r="AF20" s="51" t="s">
        <v>34</v>
      </c>
      <c r="AG20" s="51"/>
      <c r="AH20" s="51"/>
    </row>
    <row r="21" spans="1:34" customHeight="1" ht="15.75">
      <c r="A21" s="55">
        <v>18</v>
      </c>
      <c r="B21" s="14" t="s">
        <v>69</v>
      </c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 t="s">
        <v>64</v>
      </c>
      <c r="X21" s="14"/>
      <c r="Y21" s="14"/>
      <c r="Z21" s="14"/>
      <c r="AA21" s="24"/>
      <c r="AB21" s="29"/>
      <c r="AC21" s="14">
        <v>10</v>
      </c>
      <c r="AD21" s="14" t="s">
        <v>32</v>
      </c>
      <c r="AE21" s="50"/>
      <c r="AF21" s="50" t="s">
        <v>34</v>
      </c>
      <c r="AG21" s="50"/>
      <c r="AH21" s="50"/>
    </row>
    <row r="22" spans="1:34" customHeight="1" ht="15.75">
      <c r="A22" s="56">
        <v>19</v>
      </c>
      <c r="B22" s="15" t="s">
        <v>69</v>
      </c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 t="s">
        <v>64</v>
      </c>
      <c r="W22" s="15"/>
      <c r="X22" s="15"/>
      <c r="Y22" s="15"/>
      <c r="Z22" s="15"/>
      <c r="AA22" s="25"/>
      <c r="AB22" s="30"/>
      <c r="AC22" s="15">
        <v>12</v>
      </c>
      <c r="AD22" s="15" t="s">
        <v>32</v>
      </c>
      <c r="AE22" s="51"/>
      <c r="AF22" s="51" t="s">
        <v>34</v>
      </c>
      <c r="AG22" s="51"/>
      <c r="AH22" s="51"/>
    </row>
    <row r="23" spans="1:34" customHeight="1" ht="15.75">
      <c r="A23" s="55">
        <v>20</v>
      </c>
      <c r="B23" s="14" t="s">
        <v>53</v>
      </c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 t="s">
        <v>70</v>
      </c>
      <c r="X23" s="14"/>
      <c r="Y23" s="14"/>
      <c r="Z23" s="14"/>
      <c r="AA23" s="24"/>
      <c r="AB23" s="29"/>
      <c r="AC23" s="14">
        <v>10</v>
      </c>
      <c r="AD23" s="14" t="s">
        <v>32</v>
      </c>
      <c r="AE23" s="50"/>
      <c r="AF23" s="50" t="s">
        <v>34</v>
      </c>
      <c r="AG23" s="50"/>
      <c r="AH23" s="50"/>
    </row>
    <row r="24" spans="1:34" customHeight="1" ht="15.75">
      <c r="A24" s="57">
        <v>21</v>
      </c>
      <c r="B24" s="17" t="s">
        <v>71</v>
      </c>
      <c r="C24" s="16"/>
      <c r="D24" s="37"/>
      <c r="E24" s="26"/>
      <c r="F24" s="37"/>
      <c r="G24" s="16"/>
      <c r="H24" s="37"/>
      <c r="I24" s="26"/>
      <c r="J24" s="37"/>
      <c r="K24" s="16"/>
      <c r="L24" s="37">
        <v>5</v>
      </c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>
        <v>5</v>
      </c>
      <c r="AC24" s="17"/>
      <c r="AD24" s="17" t="s">
        <v>32</v>
      </c>
      <c r="AE24" s="52"/>
      <c r="AF24" s="52" t="s">
        <v>34</v>
      </c>
      <c r="AG24" s="52"/>
      <c r="AH24" s="52"/>
    </row>
    <row r="25" spans="1:34" customHeight="1" ht="15.75">
      <c r="A25" s="55">
        <v>22</v>
      </c>
      <c r="B25" s="14" t="s">
        <v>72</v>
      </c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 t="s">
        <v>55</v>
      </c>
      <c r="Z25" s="14"/>
      <c r="AA25" s="24"/>
      <c r="AB25" s="29"/>
      <c r="AC25" s="14">
        <v>3</v>
      </c>
      <c r="AD25" s="14" t="s">
        <v>32</v>
      </c>
      <c r="AE25" s="50" t="s">
        <v>73</v>
      </c>
      <c r="AF25" s="50" t="s">
        <v>34</v>
      </c>
      <c r="AG25" s="50"/>
      <c r="AH25" s="50"/>
    </row>
    <row r="26" spans="1:34" customHeight="1" ht="15.75">
      <c r="A26" s="57">
        <v>23</v>
      </c>
      <c r="B26" s="17" t="s">
        <v>72</v>
      </c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 t="s">
        <v>74</v>
      </c>
      <c r="W26" s="17"/>
      <c r="X26" s="17"/>
      <c r="Y26" s="17"/>
      <c r="Z26" s="17"/>
      <c r="AA26" s="26"/>
      <c r="AB26" s="30"/>
      <c r="AC26" s="17">
        <v>13</v>
      </c>
      <c r="AD26" s="17" t="s">
        <v>32</v>
      </c>
      <c r="AE26" s="52"/>
      <c r="AF26" s="52" t="s">
        <v>34</v>
      </c>
      <c r="AG26" s="52"/>
      <c r="AH26" s="52"/>
    </row>
    <row r="27" spans="1:34" customHeight="1" ht="15.75">
      <c r="A27" s="55">
        <v>24</v>
      </c>
      <c r="B27" s="14" t="s">
        <v>58</v>
      </c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 t="s">
        <v>59</v>
      </c>
      <c r="W27" s="14"/>
      <c r="X27" s="14"/>
      <c r="Y27" s="14"/>
      <c r="Z27" s="14"/>
      <c r="AA27" s="24"/>
      <c r="AB27" s="29"/>
      <c r="AC27" s="14">
        <v>13</v>
      </c>
      <c r="AD27" s="14" t="s">
        <v>32</v>
      </c>
      <c r="AE27" s="50" t="s">
        <v>60</v>
      </c>
      <c r="AF27" s="50" t="s">
        <v>34</v>
      </c>
      <c r="AG27" s="50"/>
      <c r="AH27" s="50"/>
    </row>
    <row r="28" spans="1:34" customHeight="1" ht="15.75">
      <c r="A28" s="57">
        <v>25</v>
      </c>
      <c r="B28" s="17" t="s">
        <v>58</v>
      </c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 t="s">
        <v>64</v>
      </c>
      <c r="AB28" s="30"/>
      <c r="AC28" s="17">
        <v>3</v>
      </c>
      <c r="AD28" s="17" t="s">
        <v>32</v>
      </c>
      <c r="AE28" s="52" t="s">
        <v>75</v>
      </c>
      <c r="AF28" s="52" t="s">
        <v>34</v>
      </c>
      <c r="AG28" s="52"/>
      <c r="AH28" s="52"/>
    </row>
    <row r="29" spans="1:34" customHeight="1" ht="15.75">
      <c r="A29" s="55">
        <v>26</v>
      </c>
      <c r="B29" s="14" t="s">
        <v>76</v>
      </c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 t="s">
        <v>64</v>
      </c>
      <c r="X29" s="14"/>
      <c r="Y29" s="14"/>
      <c r="Z29" s="14"/>
      <c r="AA29" s="24"/>
      <c r="AB29" s="29"/>
      <c r="AC29" s="14">
        <v>10</v>
      </c>
      <c r="AD29" s="14" t="s">
        <v>32</v>
      </c>
      <c r="AE29" s="50" t="s">
        <v>77</v>
      </c>
      <c r="AF29" s="50" t="s">
        <v>34</v>
      </c>
      <c r="AG29" s="50"/>
      <c r="AH29" s="50"/>
    </row>
    <row r="30" spans="1:34" customHeight="1" ht="15.75">
      <c r="A30" s="22">
        <v>27</v>
      </c>
      <c r="B30" s="16" t="s">
        <v>76</v>
      </c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 t="s">
        <v>54</v>
      </c>
      <c r="Z30" s="17"/>
      <c r="AA30" s="26"/>
      <c r="AB30" s="30"/>
      <c r="AC30" s="17">
        <v>3</v>
      </c>
      <c r="AD30" s="17" t="s">
        <v>32</v>
      </c>
      <c r="AE30" s="52"/>
      <c r="AF30" s="52" t="s">
        <v>34</v>
      </c>
      <c r="AG30" s="52"/>
      <c r="AH30" s="52"/>
    </row>
    <row r="31" spans="1:34" customHeight="1" ht="15.75">
      <c r="A31" s="21">
        <f>+A30+1</f>
        <v>28</v>
      </c>
      <c r="B31" s="8" t="s">
        <v>78</v>
      </c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 t="s">
        <v>45</v>
      </c>
      <c r="X31" s="14"/>
      <c r="Y31" s="14"/>
      <c r="Z31" s="14"/>
      <c r="AA31" s="24"/>
      <c r="AB31" s="29"/>
      <c r="AC31" s="14">
        <v>10</v>
      </c>
      <c r="AD31" s="14" t="s">
        <v>32</v>
      </c>
      <c r="AE31" s="50"/>
      <c r="AF31" s="50" t="s">
        <v>34</v>
      </c>
      <c r="AG31" s="50"/>
      <c r="AH31" s="50"/>
    </row>
    <row r="32" spans="1:34" customHeight="1" ht="15.75">
      <c r="A32" s="22">
        <f>+A31+1</f>
        <v>29</v>
      </c>
      <c r="B32" s="16" t="s">
        <v>79</v>
      </c>
      <c r="C32" s="26"/>
      <c r="D32" s="37">
        <v>10</v>
      </c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>
        <v>2</v>
      </c>
      <c r="AC32" s="17"/>
      <c r="AD32" s="17" t="s">
        <v>32</v>
      </c>
      <c r="AE32" s="52" t="s">
        <v>80</v>
      </c>
      <c r="AF32" s="52" t="s">
        <v>38</v>
      </c>
      <c r="AG32" s="52"/>
      <c r="AH32" s="52"/>
    </row>
    <row r="33" spans="1:34" customHeight="1" ht="15.75">
      <c r="A33" s="21">
        <f>+A32+1</f>
        <v>30</v>
      </c>
      <c r="B33" s="8" t="s">
        <v>79</v>
      </c>
      <c r="C33" s="24"/>
      <c r="D33" s="35">
        <v>40</v>
      </c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>
        <v>2</v>
      </c>
      <c r="AC33" s="14"/>
      <c r="AD33" s="14" t="s">
        <v>32</v>
      </c>
      <c r="AE33" s="50" t="s">
        <v>81</v>
      </c>
      <c r="AF33" s="50" t="s">
        <v>38</v>
      </c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50</v>
      </c>
      <c r="E39">
        <f>SUM(E4:E38)</f>
        <v>0</v>
      </c>
      <c r="F39">
        <f>SUM(F4:F38)</f>
        <v>10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5</v>
      </c>
      <c r="M39">
        <f>SUM(M4:M38)</f>
        <v>0</v>
      </c>
      <c r="N39">
        <f>SUM(N4:N38)</f>
        <v>6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9</v>
      </c>
      <c r="S39">
        <f>SUM(S4:S38)</f>
        <v>21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36</v>
      </c>
      <c r="AC39">
        <f>SUM(AC4:AC38)</f>
        <v>145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2.7777777777778</v>
      </c>
      <c r="E40" s="5"/>
      <c r="F40" s="5">
        <f>SUM(F4:F38)/16</f>
        <v>0.625</v>
      </c>
      <c r="H40" s="5">
        <f>SUM(H4:H38)/15</f>
        <v>0</v>
      </c>
      <c r="J40" s="5">
        <f>SUM(J4:J38)/15</f>
        <v>0</v>
      </c>
      <c r="K40" s="5"/>
      <c r="L40" s="5">
        <f>SUM(L4:L38)/12</f>
        <v>0.41666666666667</v>
      </c>
      <c r="M40" s="5"/>
      <c r="N40" s="5">
        <f>SUM(N4:N38)/12</f>
        <v>0.5</v>
      </c>
      <c r="O40" s="5"/>
      <c r="P40" s="5">
        <f>SUM(P4:P38)/12</f>
        <v>0</v>
      </c>
      <c r="Q40" s="5"/>
      <c r="R40" s="5">
        <f>SUM(R4:R38)/12</f>
        <v>0.75</v>
      </c>
      <c r="S40" s="5"/>
    </row>
    <row r="41" spans="1:34">
      <c r="B41" s="6" t="s">
        <v>82</v>
      </c>
      <c r="C41" s="7">
        <f>+D40+C39</f>
        <v>2.7777777777778</v>
      </c>
      <c r="D41" s="32"/>
      <c r="E41" s="7">
        <f>+F40+E39</f>
        <v>0.625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0.41666666666667</v>
      </c>
      <c r="L41" s="7"/>
      <c r="M41" s="7">
        <f>+N40+M39</f>
        <v>0.5</v>
      </c>
      <c r="N41" s="7"/>
      <c r="O41" s="7">
        <f>+P40+O39</f>
        <v>0</v>
      </c>
      <c r="P41" s="7"/>
      <c r="Q41" s="7">
        <f>+R40+Q39</f>
        <v>0.75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