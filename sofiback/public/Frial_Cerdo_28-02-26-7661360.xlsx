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<sst xmlns="http://schemas.openxmlformats.org/spreadsheetml/2006/main" uniqueCount="53">
  <si>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 E D I D O S    DE   C E R D O S</t>
  </si>
  <si>
    <t>NOMBRE VENDEDOR :</t>
  </si>
  <si>
    <t>CRISTIAN LOPEZ</t>
  </si>
  <si>
    <t>FECHA:</t>
  </si>
  <si>
    <t>2026-02-27</t>
  </si>
  <si>
    <t>No.</t>
  </si>
  <si>
    <t>CLIENTE</t>
  </si>
  <si>
    <t>Precio</t>
  </si>
  <si>
    <t>TOTAL</t>
  </si>
  <si>
    <t>Entero</t>
  </si>
  <si>
    <t>Desmembra</t>
  </si>
  <si>
    <t>Corte</t>
  </si>
  <si>
    <t>OBSERVACION</t>
  </si>
  <si>
    <t>CNTDO</t>
  </si>
  <si>
    <t>FACT</t>
  </si>
  <si>
    <t>HORARIO</t>
  </si>
  <si>
    <t>COMENTARIO</t>
  </si>
  <si>
    <t>Medio</t>
  </si>
  <si>
    <t>kilos</t>
  </si>
  <si>
    <t>FORTUNATA AGUILAR FLORES</t>
  </si>
  <si>
    <t>Corte para CHICHARRÓN</t>
  </si>
  <si>
    <t>SI</t>
  </si>
  <si>
    <t>ALVARO FERNANDO MONTERO CORTÉZ</t>
  </si>
  <si>
    <t>Corte CHICHARRÓN estar 14pm</t>
  </si>
  <si>
    <t>NO</t>
  </si>
  <si>
    <t>CLIENTE NUEVO - CRISTIAN LOPEZ</t>
  </si>
  <si>
    <t>Corte CHICHARRÓN lo recoge 4am JOSE ACHOCALLA</t>
  </si>
  <si>
    <t>SE RECOGE</t>
  </si>
  <si>
    <t>MARIA ROXANA MAMANI CHAVARRIA</t>
  </si>
  <si>
    <t>Corte CHICHARRÓN</t>
  </si>
  <si>
    <t>Se recoge cerdo bonito no gordo</t>
  </si>
  <si>
    <t>ZULEMA VILLALPANDO RODRIGUEZ</t>
  </si>
  <si>
    <t>Corte CHICHARRÓN mandar SIN PATAS AUTORIZADO POR FRANZ</t>
  </si>
  <si>
    <t>DANIELA LOPEZ</t>
  </si>
  <si>
    <t>MARIA CHAMBI MENDOZA</t>
  </si>
  <si>
    <t>Corte lechón delgado bonito</t>
  </si>
  <si>
    <t>HELEN TORREZ</t>
  </si>
  <si>
    <t>HELEN EDITH TORREZ PRIALET DE ANDIA</t>
  </si>
  <si>
    <t>RUBEN CABALLERO</t>
  </si>
  <si>
    <t>CARMEN ROSA CALIZAYA URUR</t>
  </si>
  <si>
    <t>Bonito no gordo</t>
  </si>
  <si>
    <t>DANIELA DEL CARMEN CALLAPA SALAZAR</t>
  </si>
  <si>
    <t>MARIBEL AYZA SOTO DE LUQUE</t>
  </si>
  <si>
    <t>El más pequeño que haya</t>
  </si>
  <si>
    <t>SANDRA JIOVANA ADUVIRI LOVERA</t>
  </si>
  <si>
    <t>GONZALO JAIME BURGOA ROCABADO</t>
  </si>
  <si>
    <t>WILMA PEREZ</t>
  </si>
  <si>
    <t>Cobrar 3128 bs</t>
  </si>
  <si>
    <t>MARTHA TAPIA</t>
  </si>
  <si>
    <t>Nouy grande</t>
  </si>
  <si>
    <t>TATIANA HURTADO</t>
  </si>
  <si>
    <t>ELIZABETH CRISTINA LLAVE AJHUACHO</t>
  </si>
  <si>
    <t>A su casa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</si>
</sst>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2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1"/>
      <color rgb="FF70AD47"/>
      <name val="Calibri"/>
    </font>
    <font>
      <b val="1"/>
      <i val="0"/>
      <strike val="0"/>
      <u val="none"/>
      <sz val="8"/>
      <color rgb="FF70AD47"/>
      <name val="Calibri"/>
    </font>
    <font>
      <b val="1"/>
      <i val="0"/>
      <strike val="0"/>
      <u val="none"/>
      <sz val="9"/>
      <color rgb="FF70AD47"/>
      <name val="Calibri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D8D8D8"/>
      <name val="Calibri"/>
    </font>
    <font>
      <b val="1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D8D8D8"/>
      <name val="Calibri"/>
    </font>
    <font>
      <b val="1"/>
      <i val="0"/>
      <strike val="0"/>
      <u val="none"/>
      <sz val="11"/>
      <color rgb="FF002060"/>
      <name val="Calibri"/>
    </font>
    <font>
      <b val="1"/>
      <i val="0"/>
      <strike val="0"/>
      <u val="none"/>
      <sz val="10"/>
      <color rgb="FF70AD47"/>
      <name val="Calibri"/>
    </font>
    <font>
      <b val="0"/>
      <i val="0"/>
      <strike val="0"/>
      <u val="none"/>
      <sz val="18"/>
      <color rgb="FF548135"/>
      <name val="Calibri"/>
    </font>
    <font>
      <b val="1"/>
      <i val="1"/>
      <strike val="0"/>
      <u val="none"/>
      <sz val="14"/>
      <color rgb="FFFF0000"/>
      <name val="Calibri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FFFF"/>
      <name val="Calibri"/>
    </font>
    <font>
      <b val="1"/>
      <i val="1"/>
      <strike val="0"/>
      <u val="none"/>
      <sz val="14"/>
      <color rgb="FF000000"/>
      <name val="Calibri"/>
    </font>
    <font>
      <b val="1"/>
      <i val="1"/>
      <strike val="0"/>
      <u val="none"/>
      <sz val="14"/>
      <color rgb="FFFFFFFF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BE4D5"/>
      </patternFill>
    </fill>
    <fill>
      <patternFill patternType="solid">
        <fgColor rgb="FF757575"/>
        <bgColor rgb="FF757575"/>
      </patternFill>
    </fill>
    <fill>
      <patternFill patternType="solid">
        <fgColor rgb="FF37474F"/>
        <bgColor rgb="FF37474F"/>
      </patternFill>
    </fill>
    <fill>
      <patternFill patternType="solid">
        <fgColor rgb="FFFF7043"/>
        <bgColor rgb="FFFF7043"/>
      </patternFill>
    </fill>
    <fill>
      <patternFill patternType="solid">
        <fgColor rgb="FFF5EE17"/>
        <bgColor rgb="FFF5EE17"/>
      </patternFill>
    </fill>
    <fill>
      <patternFill patternType="solid">
        <fgColor rgb="FF9575CD"/>
        <bgColor rgb="FF9575CD"/>
      </patternFill>
    </fill>
    <fill>
      <patternFill patternType="solid">
        <fgColor rgb="FF0D47A1"/>
        <bgColor rgb="FF0D47A1"/>
      </patternFill>
    </fill>
  </fills>
  <borders count="38">
    <border/>
    <border>
      <left style="medium">
        <color rgb="FF4472C4"/>
      </left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top style="medium">
        <color rgb="FFB4C6E7"/>
      </top>
      <bottom style="medium">
        <color rgb="FFB4C6E7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thin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top style="thick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medium">
        <color rgb="FF4472C4"/>
      </bottom>
    </border>
    <border>
      <bottom style="thick">
        <color rgb="FF4472C4"/>
      </bottom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top style="medium">
        <color rgb="FFB4C6E7"/>
      </top>
      <bottom style="medium">
        <color rgb="FF4472C4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4472C4"/>
      </bottom>
    </border>
    <border>
      <right style="medium">
        <color rgb="FF4472C4"/>
      </right>
    </border>
    <border>
      <left style="medium">
        <color rgb="FF4472C4"/>
      </left>
      <right style="medium">
        <color rgb="FF4472C4"/>
      </right>
    </border>
    <border>
      <left style="medium">
        <color rgb="FF4472C4"/>
      </left>
    </border>
    <border>
      <right style="thick">
        <color rgb="FF4472C4"/>
      </right>
    </border>
    <border>
      <right style="thin">
        <color rgb="FF4472C4"/>
      </right>
      <top style="thick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bottom style="thin">
        <color rgb="FF4472C4"/>
      </bottom>
    </border>
    <border>
      <left style="thin">
        <color rgb="FF4472C4"/>
      </left>
      <right style="thin">
        <color rgb="FF4472C4"/>
      </right>
      <bottom style="thin">
        <color rgb="FF4472C4"/>
      </bottom>
    </border>
    <border diagonalUp="true" diagonalDown="false">
      <left style="thick">
        <color rgb="FF4472C4"/>
      </left>
      <right style="thick">
        <color rgb="FF4472C4"/>
      </right>
      <top style="thick">
        <color rgb="FF4472C4"/>
      </top>
      <bottom style="thick">
        <color rgb="FF4472C4"/>
      </bottom>
      <diagonal style="thin">
        <color rgb="FF4472C4"/>
      </diagonal>
    </border>
    <border>
      <left style="medium">
        <color rgb="FF4472C4"/>
      </left>
      <right style="thick">
        <color rgb="FF4472C4"/>
      </right>
      <top style="thick">
        <color rgb="FF4472C4"/>
      </top>
    </border>
    <border>
      <left style="medium">
        <color rgb="FF4472C4"/>
      </left>
      <right style="thick">
        <color rgb="FF4472C4"/>
      </right>
      <bottom style="thick">
        <color rgb="FF4472C4"/>
      </bottom>
    </border>
    <border>
      <left style="thick">
        <color rgb="FF4472C4"/>
      </left>
      <right style="thick">
        <color rgb="FF4472C4"/>
      </right>
      <top style="thick">
        <color rgb="FF4472C4"/>
      </top>
    </border>
    <border>
      <left style="thick">
        <color rgb="FF4472C4"/>
      </left>
      <right style="thick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3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4" borderId="5" applyFont="0" applyNumberFormat="0" applyFill="1" applyBorder="1" applyAlignment="1">
      <alignment horizontal="center" vertical="center" textRotation="0" wrapText="false" shrinkToFit="false"/>
    </xf>
    <xf xfId="0" fontId="6" numFmtId="0" fillId="4" borderId="5" applyFont="1" applyNumberFormat="0" applyFill="1" applyBorder="1" applyAlignment="1">
      <alignment horizontal="center" vertical="center" textRotation="0" wrapText="false" shrinkToFit="false"/>
    </xf>
    <xf xfId="0" fontId="7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0">
      <alignment horizontal="general" vertical="bottom" textRotation="0" wrapText="false" shrinkToFit="false"/>
    </xf>
    <xf xfId="0" fontId="0" numFmtId="0" fillId="4" borderId="6" applyFont="0" applyNumberFormat="0" applyFill="1" applyBorder="1" applyAlignment="0">
      <alignment horizontal="general" vertical="bottom" textRotation="0" wrapText="false" shrinkToFit="false"/>
    </xf>
    <xf xfId="0" fontId="0" numFmtId="0" fillId="4" borderId="7" applyFont="0" applyNumberFormat="0" applyFill="1" applyBorder="1" applyAlignment="0">
      <alignment horizontal="general" vertical="bottom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4" borderId="10" applyFont="0" applyNumberFormat="0" applyFill="1" applyBorder="1" applyAlignment="0">
      <alignment horizontal="general" vertical="bottom" textRotation="0" wrapText="false" shrinkToFit="false"/>
    </xf>
    <xf xfId="0" fontId="0" numFmtId="0" fillId="4" borderId="11" applyFont="0" applyNumberFormat="0" applyFill="1" applyBorder="1" applyAlignment="0">
      <alignment horizontal="general" vertical="bottom" textRotation="0" wrapText="false" shrinkToFit="false"/>
    </xf>
    <xf xfId="0" fontId="0" numFmtId="0" fillId="4" borderId="12" applyFont="0" applyNumberFormat="0" applyFill="1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9" numFmtId="2" fillId="4" borderId="13" applyFont="1" applyNumberFormat="1" applyFill="1" applyBorder="1" applyAlignment="1">
      <alignment horizontal="right" vertical="center" textRotation="0" wrapText="false" shrinkToFit="false"/>
    </xf>
    <xf xfId="0" fontId="0" numFmtId="0" fillId="4" borderId="14" applyFont="0" applyNumberFormat="0" applyFill="1" applyBorder="1" applyAlignment="0">
      <alignment horizontal="general" vertical="bottom" textRotation="0" wrapText="false" shrinkToFit="false"/>
    </xf>
    <xf xfId="0" fontId="0" numFmtId="0" fillId="4" borderId="15" applyFont="0" applyNumberFormat="0" applyFill="1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4" borderId="17" applyFont="0" applyNumberFormat="0" applyFill="1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0" numFmtId="0" fillId="4" borderId="18" applyFont="0" applyNumberFormat="0" applyFill="1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4" borderId="10" applyFont="1" applyNumberFormat="0" applyFill="1" applyBorder="1" applyAlignment="0">
      <alignment horizontal="general" vertical="bottom" textRotation="0" wrapText="false" shrinkToFit="false"/>
    </xf>
    <xf xfId="0" fontId="5" numFmtId="0" fillId="3" borderId="20" applyFont="1" applyNumberFormat="0" applyFill="1" applyBorder="1" applyAlignment="1">
      <alignment horizontal="center" vertical="center" textRotation="0" wrapText="false" shrinkToFit="false"/>
    </xf>
    <xf xfId="0" fontId="0" numFmtId="0" fillId="2" borderId="20" applyFont="0" applyNumberFormat="0" applyFill="1" applyBorder="1" applyAlignment="1">
      <alignment horizontal="center" vertical="center" textRotation="0" wrapText="false" shrinkToFit="false"/>
    </xf>
    <xf xfId="0" fontId="6" numFmtId="0" fillId="2" borderId="20" applyFont="1" applyNumberFormat="0" applyFill="1" applyBorder="1" applyAlignment="1">
      <alignment horizontal="center" vertical="center" textRotation="0" wrapText="false" shrinkToFit="false"/>
    </xf>
    <xf xfId="0" fontId="7" numFmtId="0" fillId="3" borderId="20" applyFont="1" applyNumberFormat="0" applyFill="1" applyBorder="1" applyAlignment="1">
      <alignment horizontal="center" vertical="center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2" borderId="21" applyFont="0" applyNumberFormat="0" applyFill="1" applyBorder="1" applyAlignment="0">
      <alignment horizontal="general" vertical="bottom" textRotation="0" wrapText="false" shrinkToFit="false"/>
    </xf>
    <xf xfId="0" fontId="0" numFmtId="0" fillId="2" borderId="22" applyFont="0" applyNumberFormat="0" applyFill="1" applyBorder="1" applyAlignment="0">
      <alignment horizontal="general" vertical="bottom" textRotation="0" wrapText="false" shrinkToFit="false"/>
    </xf>
    <xf xfId="0" fontId="8" numFmtId="0" fillId="2" borderId="20" applyFont="1" applyNumberFormat="0" applyFill="1" applyBorder="1" applyAlignment="1">
      <alignment horizontal="center" vertical="center" textRotation="0" wrapText="tru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0" numFmtId="0" fillId="0" borderId="24" applyFont="0" applyNumberFormat="0" applyFill="0" applyBorder="1" applyAlignment="0">
      <alignment horizontal="general" vertical="bottom" textRotation="0" wrapText="false" shrinkToFit="false"/>
    </xf>
    <xf xfId="0" fontId="13" numFmtId="0" fillId="0" borderId="24" applyFont="1" applyNumberFormat="0" applyFill="0" applyBorder="1" applyAlignment="0">
      <alignment horizontal="general" vertical="bottom" textRotation="0" wrapText="false" shrinkToFit="false"/>
    </xf>
    <xf xfId="0" fontId="14" numFmtId="0" fillId="0" borderId="25" applyFont="1" applyNumberFormat="0" applyFill="0" applyBorder="1" applyAlignment="1">
      <alignment horizontal="center" vertical="bottom" textRotation="0" wrapText="true" shrinkToFit="false"/>
    </xf>
    <xf xfId="0" fontId="3" numFmtId="0" fillId="0" borderId="23" applyFont="1" applyNumberFormat="0" applyFill="0" applyBorder="1" applyAlignment="1">
      <alignment horizontal="center" vertical="bottom" textRotation="0" wrapText="true" shrinkToFit="false"/>
    </xf>
    <xf xfId="0" fontId="4" numFmtId="0" fillId="0" borderId="24" applyFont="1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26" applyFont="1" applyNumberFormat="0" applyFill="0" applyBorder="1" applyAlignment="1">
      <alignment horizontal="center" vertical="center" textRotation="0" wrapText="false" shrinkToFit="false"/>
    </xf>
    <xf xfId="0" fontId="16" numFmtId="0" fillId="0" borderId="24" applyFont="1" applyNumberFormat="0" applyFill="0" applyBorder="1" applyAlignment="1">
      <alignment horizontal="center" vertical="center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3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true" shrinkToFit="false"/>
    </xf>
    <xf xfId="0" fontId="6" numFmtId="0" fillId="4" borderId="5" applyFont="1" applyNumberFormat="0" applyFill="1" applyBorder="1" applyAlignment="1">
      <alignment horizontal="center" vertical="center" textRotation="0" wrapText="false" shrinkToFit="false"/>
    </xf>
    <xf xfId="0" fontId="7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4" borderId="6" applyFont="1" applyNumberFormat="0" applyFill="1" applyBorder="1" applyAlignment="1">
      <alignment horizontal="center" vertical="center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4" borderId="6" applyFont="1" applyNumberFormat="0" applyFill="1" applyBorder="1" applyAlignment="1">
      <alignment horizontal="center" vertical="center" textRotation="0" wrapText="true" shrinkToFit="false"/>
    </xf>
    <xf xfId="0" fontId="0" numFmtId="0" fillId="0" borderId="27" applyFont="0" applyNumberFormat="0" applyFill="0" applyBorder="1" applyAlignment="0">
      <alignment horizontal="general" vertical="bottom" textRotation="0" wrapText="false" shrinkToFit="false"/>
    </xf>
    <xf xfId="0" fontId="0" numFmtId="0" fillId="4" borderId="28" applyFont="0" applyNumberFormat="0" applyFill="1" applyBorder="1" applyAlignment="0">
      <alignment horizontal="general" vertical="bottom" textRotation="0" wrapText="false" shrinkToFit="false"/>
    </xf>
    <xf xfId="0" fontId="0" numFmtId="0" fillId="0" borderId="28" applyFont="0" applyNumberFormat="0" applyFill="0" applyBorder="1" applyAlignment="0">
      <alignment horizontal="general" vertical="bottom" textRotation="0" wrapText="false" shrinkToFit="false"/>
    </xf>
    <xf xfId="0" fontId="0" numFmtId="0" fillId="4" borderId="29" applyFont="0" applyNumberFormat="0" applyFill="1" applyBorder="1" applyAlignment="0">
      <alignment horizontal="general" vertical="bottom" textRotation="0" wrapText="false" shrinkToFit="false"/>
    </xf>
    <xf xfId="0" fontId="0" numFmtId="0" fillId="0" borderId="29" applyFont="0" applyNumberFormat="0" applyFill="0" applyBorder="1" applyAlignment="0">
      <alignment horizontal="general" vertical="bottom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4" borderId="30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4" borderId="31" applyFont="0" applyNumberFormat="0" applyFill="1" applyBorder="1" applyAlignment="0">
      <alignment horizontal="general" vertical="bottom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0" numFmtId="0" fillId="0" borderId="33" applyFont="0" applyNumberFormat="0" applyFill="0" applyBorder="1" applyAlignment="0">
      <alignment horizontal="general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34" applyFont="1" applyNumberFormat="0" applyFill="0" applyBorder="1" applyAlignment="1">
      <alignment horizontal="center" vertical="center" textRotation="0" wrapText="false" shrinkToFit="false"/>
    </xf>
    <xf xfId="0" fontId="15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1" numFmtId="0" fillId="0" borderId="19" applyFont="1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14" numFmtId="0" fillId="0" borderId="36" applyFont="1" applyNumberFormat="0" applyFill="0" applyBorder="1" applyAlignment="1">
      <alignment horizontal="center" vertical="bottom" textRotation="0" wrapText="true" shrinkToFit="false"/>
    </xf>
    <xf xfId="0" fontId="14" numFmtId="0" fillId="0" borderId="37" applyFont="1" applyNumberFormat="0" applyFill="0" applyBorder="1" applyAlignment="1">
      <alignment horizontal="center" vertical="bottom" textRotation="0" wrapText="true" shrinkToFit="false"/>
    </xf>
    <xf xfId="0" fontId="18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8" numFmtId="0" fillId="0" borderId="1" applyFont="1" applyNumberFormat="0" applyFill="0" applyBorder="1" applyAlignment="1">
      <alignment horizontal="center" vertical="center" textRotation="0" wrapText="false" shrinkToFit="false"/>
    </xf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13" numFmtId="0" fillId="0" borderId="3" applyFont="1" applyNumberFormat="0" applyFill="0" applyBorder="1" applyAlignment="0">
      <alignment horizontal="general" vertical="bottom" textRotation="0" wrapText="false" shrinkToFit="false"/>
    </xf>
    <xf xfId="0" fontId="19" numFmtId="0" fillId="6" borderId="5" applyFont="1" applyNumberFormat="0" applyFill="1" applyBorder="1" applyAlignment="1">
      <alignment horizontal="center" vertical="center" textRotation="0" wrapText="false" shrinkToFit="false"/>
    </xf>
    <xf xfId="0" fontId="19" numFmtId="0" fillId="7" borderId="5" applyFont="1" applyNumberFormat="0" applyFill="1" applyBorder="1" applyAlignment="1">
      <alignment horizontal="center" vertical="center" textRotation="0" wrapText="false" shrinkToFit="false"/>
    </xf>
    <xf xfId="0" fontId="19" numFmtId="0" fillId="8" borderId="5" applyFont="1" applyNumberFormat="0" applyFill="1" applyBorder="1" applyAlignment="1">
      <alignment horizontal="center" vertical="center" textRotation="0" wrapText="false" shrinkToFit="false"/>
    </xf>
    <xf xfId="0" fontId="20" numFmtId="0" fillId="9" borderId="24" applyFont="1" applyNumberFormat="0" applyFill="1" applyBorder="1" applyAlignment="1">
      <alignment horizontal="center" vertical="center" textRotation="0" wrapText="false" shrinkToFit="false"/>
    </xf>
    <xf xfId="0" fontId="21" numFmtId="0" fillId="6" borderId="24" applyFont="1" applyNumberFormat="0" applyFill="1" applyBorder="1" applyAlignment="1">
      <alignment horizontal="center" vertical="center" textRotation="0" wrapText="false" shrinkToFit="false"/>
    </xf>
    <xf xfId="0" fontId="19" numFmtId="0" fillId="10" borderId="5" applyFont="1" applyNumberFormat="0" applyFill="1" applyBorder="1" applyAlignment="1">
      <alignment horizontal="center" vertical="center" textRotation="0" wrapText="false" shrinkToFit="false"/>
    </xf>
    <xf xfId="0" fontId="19" numFmtId="0" fillId="11" borderId="5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3"/>
  <sheetViews>
    <sheetView tabSelected="1" workbookViewId="0" showGridLines="true" showRowColHeaders="1">
      <selection activeCell="B28" sqref="B28"/>
    </sheetView>
  </sheetViews>
  <sheetFormatPr customHeight="true" defaultRowHeight="15" defaultColWidth="14.42578125" outlineLevelRow="0" outlineLevelCol="0"/>
  <cols>
    <col min="1" max="1" width="3.5703125" customWidth="true" style="0"/>
    <col min="2" max="2" width="24.5703125" customWidth="true" style="0"/>
    <col min="3" max="3" width="6.5703125" customWidth="true" style="0"/>
    <col min="4" max="4" width="7.85546875" customWidth="true" style="0"/>
    <col min="5" max="5" width="6.7109375" customWidth="true" style="0"/>
    <col min="6" max="6" width="6.7109375" customWidth="true" style="0"/>
    <col min="7" max="7" width="5.85546875" hidden="true" customWidth="true" style="0"/>
    <col min="8" max="8" width="6.7109375" customWidth="true" style="0"/>
    <col min="9" max="9" width="7.28515625" customWidth="true" style="0"/>
    <col min="10" max="10" width="50.7109375" customWidth="true" style="0"/>
    <col min="11" max="11" width="6.7109375" customWidth="true" style="0"/>
    <col min="12" max="12" width="6.7109375" customWidth="true" style="0"/>
    <col min="13" max="13" width="6.7109375" customWidth="true" style="0"/>
    <col min="14" max="14" width="6.7109375" customWidth="true" style="0"/>
    <col min="15" max="15" width="6.7109375" customWidth="true" style="0"/>
    <col min="16" max="16" width="6.7109375" hidden="true" customWidth="true" style="0"/>
    <col min="17" max="17" width="6.7109375" hidden="true" customWidth="true" style="0"/>
    <col min="18" max="18" width="6.7109375" hidden="true" customWidth="true" style="0"/>
    <col min="19" max="19" width="15.5703125" hidden="true" customWidth="true" style="0"/>
    <col min="20" max="20" width="14.5703125" hidden="true" customWidth="true" style="0"/>
    <col min="21" max="21" width="7" customWidth="true" style="0"/>
    <col min="22" max="22" width="7" customWidth="true" style="0"/>
    <col min="23" max="23" width="10.42578125" customWidth="true" style="0"/>
  </cols>
  <sheetData>
    <row r="1" spans="1:24" customHeight="1" ht="19.5">
      <c r="B1" s="82" t="s">
        <v>0</v>
      </c>
      <c r="C1" s="82"/>
      <c r="D1" s="82"/>
      <c r="E1" s="82"/>
      <c r="F1" s="82"/>
      <c r="G1" s="82"/>
      <c r="H1" s="82"/>
      <c r="I1" s="82"/>
    </row>
    <row r="2" spans="1:24" customHeight="1" ht="6">
      <c r="C2" s="1"/>
      <c r="D2" s="1"/>
      <c r="E2" s="1"/>
      <c r="F2" s="1"/>
      <c r="G2" s="1"/>
      <c r="H2" s="1"/>
      <c r="I2" s="1"/>
    </row>
    <row r="3" spans="1:24" customHeight="1" ht="20.25">
      <c r="B3" s="40" t="s">
        <v>1</v>
      </c>
      <c r="C3" s="87" t="s">
        <v>2</v>
      </c>
      <c r="D3" s="88"/>
      <c r="E3" s="88"/>
      <c r="F3" s="88"/>
      <c r="G3" s="88"/>
      <c r="H3" s="88"/>
      <c r="I3" s="41" t="s">
        <v>3</v>
      </c>
      <c r="J3" s="6" t="s">
        <v>4</v>
      </c>
      <c r="K3" s="39"/>
      <c r="L3" s="39"/>
      <c r="M3" s="39"/>
      <c r="N3" s="39"/>
      <c r="O3" s="39"/>
    </row>
    <row r="4" spans="1:24" customHeight="1" ht="15">
      <c r="A4" s="91" t="s">
        <v>5</v>
      </c>
      <c r="B4" s="93" t="s">
        <v>6</v>
      </c>
      <c r="C4" s="94" t="s">
        <v>7</v>
      </c>
      <c r="D4" s="85" t="s">
        <v>8</v>
      </c>
      <c r="E4" s="85" t="s">
        <v>9</v>
      </c>
      <c r="F4" s="89" t="s">
        <v>10</v>
      </c>
      <c r="G4" s="5"/>
      <c r="H4" s="85" t="s">
        <v>11</v>
      </c>
      <c r="I4" s="2" t="s">
        <v>11</v>
      </c>
      <c r="J4" s="80" t="s">
        <v>12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0" t="s">
        <v>13</v>
      </c>
      <c r="V4" s="80" t="s">
        <v>14</v>
      </c>
      <c r="W4" s="80" t="s">
        <v>15</v>
      </c>
      <c r="X4" s="80" t="s">
        <v>16</v>
      </c>
    </row>
    <row r="5" spans="1:24" customHeight="1" ht="15.75">
      <c r="A5" s="92"/>
      <c r="B5" s="86"/>
      <c r="C5" s="95"/>
      <c r="D5" s="86"/>
      <c r="E5" s="86"/>
      <c r="F5" s="90"/>
      <c r="G5" s="3" t="s">
        <v>17</v>
      </c>
      <c r="H5" s="86"/>
      <c r="I5" s="4" t="s">
        <v>18</v>
      </c>
      <c r="J5" s="81"/>
      <c r="K5" s="84"/>
      <c r="L5" s="84"/>
      <c r="M5" s="84"/>
      <c r="N5" s="84"/>
      <c r="O5" s="84"/>
      <c r="P5" s="84"/>
      <c r="Q5" s="84"/>
      <c r="R5" s="84"/>
      <c r="S5" s="84"/>
      <c r="T5" s="84"/>
      <c r="U5" s="81"/>
      <c r="V5" s="81"/>
      <c r="W5" s="81"/>
      <c r="X5" s="81"/>
    </row>
    <row r="6" spans="1:24" customHeight="1" ht="26.45">
      <c r="A6" s="51"/>
      <c r="B6" s="60" t="s">
        <v>2</v>
      </c>
      <c r="C6" s="53"/>
      <c r="D6" s="52"/>
      <c r="E6" s="52"/>
      <c r="F6" s="54"/>
      <c r="G6" s="55"/>
      <c r="H6" s="52"/>
      <c r="I6" s="56"/>
      <c r="J6" s="57"/>
      <c r="K6" s="58"/>
      <c r="L6" s="58"/>
      <c r="M6" s="58"/>
      <c r="N6" s="58"/>
      <c r="O6" s="58"/>
      <c r="P6" s="58"/>
      <c r="Q6" s="58"/>
      <c r="R6" s="58"/>
      <c r="S6" s="58"/>
      <c r="T6" s="59"/>
      <c r="U6" s="57"/>
      <c r="V6" s="57"/>
      <c r="W6" s="57"/>
      <c r="X6" s="57"/>
    </row>
    <row r="7" spans="1:24" customHeight="1" ht="24.95">
      <c r="A7" s="22">
        <v>1</v>
      </c>
      <c r="B7" s="96" t="s">
        <v>19</v>
      </c>
      <c r="C7" s="8">
        <v>1.0</v>
      </c>
      <c r="D7" s="9">
        <v>0.5</v>
      </c>
      <c r="E7" s="10"/>
      <c r="F7" s="11"/>
      <c r="G7" s="12"/>
      <c r="H7" s="10">
        <v>0.5</v>
      </c>
      <c r="I7" s="10"/>
      <c r="J7" s="67" t="s">
        <v>20</v>
      </c>
      <c r="K7" s="78"/>
      <c r="L7" s="78"/>
      <c r="M7" s="78"/>
      <c r="N7" s="78"/>
      <c r="O7" s="78"/>
      <c r="P7" s="71"/>
      <c r="Q7" s="25"/>
      <c r="R7" s="25"/>
      <c r="S7" s="35"/>
      <c r="T7" s="26"/>
      <c r="U7" s="13" t="s">
        <v>21</v>
      </c>
      <c r="V7" s="13" t="s">
        <v>21</v>
      </c>
      <c r="W7" s="13"/>
      <c r="X7" s="13"/>
    </row>
    <row r="8" spans="1:24" customHeight="1" ht="24.95" s="21" customFormat="1">
      <c r="A8" s="23">
        <f>+A7+1</f>
        <v>2</v>
      </c>
      <c r="B8" s="96" t="s">
        <v>22</v>
      </c>
      <c r="C8" s="15">
        <v>3.0</v>
      </c>
      <c r="D8" s="16">
        <v>1.5</v>
      </c>
      <c r="E8" s="17"/>
      <c r="F8" s="18"/>
      <c r="G8" s="19"/>
      <c r="H8" s="17">
        <v>1.5</v>
      </c>
      <c r="I8" s="17"/>
      <c r="J8" s="68" t="s">
        <v>23</v>
      </c>
      <c r="K8" s="79"/>
      <c r="L8" s="79"/>
      <c r="M8" s="79"/>
      <c r="N8" s="79"/>
      <c r="O8" s="79"/>
      <c r="P8" s="72"/>
      <c r="Q8" s="28"/>
      <c r="R8" s="28"/>
      <c r="S8" s="36"/>
      <c r="T8" s="29"/>
      <c r="U8" s="20" t="s">
        <v>21</v>
      </c>
      <c r="V8" s="20" t="s">
        <v>24</v>
      </c>
      <c r="W8" s="20"/>
      <c r="X8" s="20"/>
    </row>
    <row r="9" spans="1:24" customHeight="1" ht="24.95">
      <c r="A9" s="24">
        <f>+A8+1</f>
        <v>3</v>
      </c>
      <c r="B9" s="97" t="s">
        <v>25</v>
      </c>
      <c r="C9" s="8">
        <v>5.0</v>
      </c>
      <c r="D9" s="9">
        <v>1</v>
      </c>
      <c r="E9" s="10"/>
      <c r="F9" s="11"/>
      <c r="G9" s="12"/>
      <c r="H9" s="10">
        <v>1</v>
      </c>
      <c r="I9" s="10"/>
      <c r="J9" s="67" t="s">
        <v>26</v>
      </c>
      <c r="K9" s="78"/>
      <c r="L9" s="78"/>
      <c r="M9" s="78"/>
      <c r="N9" s="78"/>
      <c r="O9" s="78"/>
      <c r="P9" s="73"/>
      <c r="Q9" s="30"/>
      <c r="R9" s="30"/>
      <c r="S9" s="37"/>
      <c r="T9" s="31"/>
      <c r="U9" s="13" t="s">
        <v>21</v>
      </c>
      <c r="V9" s="13" t="s">
        <v>24</v>
      </c>
      <c r="W9" s="13" t="s">
        <v>27</v>
      </c>
      <c r="X9" s="13"/>
    </row>
    <row r="10" spans="1:24" customHeight="1" ht="24.95" s="21" customFormat="1">
      <c r="A10" s="23">
        <f>+A9+1</f>
        <v>4</v>
      </c>
      <c r="B10" s="96" t="s">
        <v>28</v>
      </c>
      <c r="C10" s="15">
        <v>5.0</v>
      </c>
      <c r="D10" s="16">
        <v>6</v>
      </c>
      <c r="E10" s="17"/>
      <c r="F10" s="18"/>
      <c r="G10" s="19"/>
      <c r="H10" s="17"/>
      <c r="I10" s="17">
        <v>60</v>
      </c>
      <c r="J10" s="68" t="s">
        <v>29</v>
      </c>
      <c r="K10" s="79"/>
      <c r="L10" s="79"/>
      <c r="M10" s="79"/>
      <c r="N10" s="79"/>
      <c r="O10" s="79"/>
      <c r="P10" s="72"/>
      <c r="Q10" s="28"/>
      <c r="R10" s="28"/>
      <c r="S10" s="36"/>
      <c r="T10" s="29"/>
      <c r="U10" s="20" t="s">
        <v>24</v>
      </c>
      <c r="V10" s="20" t="s">
        <v>24</v>
      </c>
      <c r="W10" s="20"/>
      <c r="X10" s="20"/>
    </row>
    <row r="11" spans="1:24" customHeight="1" ht="24.95">
      <c r="A11" s="24">
        <f>+A10+1</f>
        <v>5</v>
      </c>
      <c r="B11" s="96" t="s">
        <v>28</v>
      </c>
      <c r="C11" s="8">
        <v>5.0</v>
      </c>
      <c r="D11" s="9">
        <v>1</v>
      </c>
      <c r="E11" s="10"/>
      <c r="F11" s="11">
        <v>1</v>
      </c>
      <c r="G11" s="12"/>
      <c r="H11" s="10"/>
      <c r="I11" s="10"/>
      <c r="J11" s="67" t="s">
        <v>30</v>
      </c>
      <c r="K11" s="78"/>
      <c r="L11" s="78"/>
      <c r="M11" s="78"/>
      <c r="N11" s="78"/>
      <c r="O11" s="78"/>
      <c r="P11" s="73"/>
      <c r="Q11" s="30"/>
      <c r="R11" s="30"/>
      <c r="S11" s="37"/>
      <c r="T11" s="31"/>
      <c r="U11" s="13" t="s">
        <v>24</v>
      </c>
      <c r="V11" s="13" t="s">
        <v>24</v>
      </c>
      <c r="W11" s="13"/>
      <c r="X11" s="13"/>
    </row>
    <row r="12" spans="1:24" customHeight="1" ht="24.95" s="21" customFormat="1">
      <c r="A12" s="23">
        <f>+A11+1</f>
        <v>6</v>
      </c>
      <c r="B12" s="96" t="s">
        <v>31</v>
      </c>
      <c r="C12" s="15">
        <v>1.0</v>
      </c>
      <c r="D12" s="16">
        <v>0.5</v>
      </c>
      <c r="E12" s="17"/>
      <c r="F12" s="18"/>
      <c r="G12" s="19"/>
      <c r="H12" s="17">
        <v>0.5</v>
      </c>
      <c r="I12" s="17"/>
      <c r="J12" s="68" t="s">
        <v>32</v>
      </c>
      <c r="K12" s="79"/>
      <c r="L12" s="79"/>
      <c r="M12" s="79"/>
      <c r="N12" s="79"/>
      <c r="O12" s="79"/>
      <c r="P12" s="72"/>
      <c r="Q12" s="28"/>
      <c r="R12" s="28"/>
      <c r="S12" s="36"/>
      <c r="T12" s="29"/>
      <c r="U12" s="20" t="s">
        <v>21</v>
      </c>
      <c r="V12" s="20" t="s">
        <v>24</v>
      </c>
      <c r="W12" s="20"/>
      <c r="X12" s="20"/>
    </row>
    <row r="13" spans="1:24" customHeight="1" ht="24.95">
      <c r="A13" s="24">
        <f>+A12+1</f>
        <v>7</v>
      </c>
      <c r="B13" s="60" t="s">
        <v>33</v>
      </c>
      <c r="C13" s="8"/>
      <c r="D13" s="9"/>
      <c r="E13" s="10"/>
      <c r="F13" s="11"/>
      <c r="G13" s="12"/>
      <c r="H13" s="10"/>
      <c r="I13" s="10"/>
      <c r="J13" s="13"/>
      <c r="K13" s="75"/>
      <c r="L13" s="76"/>
      <c r="M13" s="76"/>
      <c r="N13" s="76"/>
      <c r="O13" s="76"/>
      <c r="P13" s="30"/>
      <c r="Q13" s="30"/>
      <c r="R13" s="30"/>
      <c r="S13" s="37"/>
      <c r="T13" s="31"/>
      <c r="U13" s="13"/>
      <c r="V13" s="13"/>
      <c r="W13" s="13"/>
      <c r="X13" s="13"/>
    </row>
    <row r="14" spans="1:24" customHeight="1" ht="24.95" s="21" customFormat="1">
      <c r="A14" s="23">
        <f>+A13+1</f>
        <v>8</v>
      </c>
      <c r="B14" s="98" t="s">
        <v>34</v>
      </c>
      <c r="C14" s="61">
        <v>3.0</v>
      </c>
      <c r="D14" s="62">
        <v>0.5</v>
      </c>
      <c r="E14" s="10"/>
      <c r="F14" s="11"/>
      <c r="G14" s="12"/>
      <c r="H14" s="10">
        <v>0.5</v>
      </c>
      <c r="I14" s="10"/>
      <c r="J14" s="69" t="s">
        <v>35</v>
      </c>
      <c r="K14" s="78"/>
      <c r="L14" s="78"/>
      <c r="M14" s="78"/>
      <c r="N14" s="78"/>
      <c r="O14" s="78"/>
      <c r="P14" s="71"/>
      <c r="Q14" s="25"/>
      <c r="R14" s="25"/>
      <c r="S14" s="35"/>
      <c r="T14" s="26"/>
      <c r="U14" s="63" t="s">
        <v>21</v>
      </c>
      <c r="V14" s="63" t="s">
        <v>24</v>
      </c>
      <c r="W14" s="63"/>
      <c r="X14" s="63"/>
    </row>
    <row r="15" spans="1:24" customHeight="1" ht="24.75">
      <c r="A15" s="24">
        <f>+A14+1</f>
        <v>9</v>
      </c>
      <c r="B15" s="14" t="s">
        <v>36</v>
      </c>
      <c r="C15" s="64"/>
      <c r="D15" s="65"/>
      <c r="E15" s="17"/>
      <c r="F15" s="18"/>
      <c r="G15" s="19"/>
      <c r="H15" s="17"/>
      <c r="I15" s="17"/>
      <c r="J15" s="70"/>
      <c r="K15" s="79"/>
      <c r="L15" s="79"/>
      <c r="M15" s="79"/>
      <c r="N15" s="79"/>
      <c r="O15" s="79"/>
      <c r="P15" s="72"/>
      <c r="Q15" s="28"/>
      <c r="R15" s="28"/>
      <c r="S15" s="36"/>
      <c r="T15" s="29"/>
      <c r="U15" s="66"/>
      <c r="V15" s="66"/>
      <c r="W15" s="66"/>
      <c r="X15" s="66"/>
    </row>
    <row r="16" spans="1:24" customHeight="1" ht="24.95" s="21" customFormat="1">
      <c r="A16" s="23">
        <f>+A15+1</f>
        <v>10</v>
      </c>
      <c r="B16" s="99" t="s">
        <v>37</v>
      </c>
      <c r="C16" s="15">
        <v>8.0</v>
      </c>
      <c r="D16" s="16">
        <v>2</v>
      </c>
      <c r="E16" s="17"/>
      <c r="F16" s="18">
        <v>2</v>
      </c>
      <c r="G16" s="19"/>
      <c r="H16" s="17"/>
      <c r="I16" s="17"/>
      <c r="J16" s="20"/>
      <c r="K16" s="74"/>
      <c r="L16" s="77"/>
      <c r="M16" s="77"/>
      <c r="N16" s="77"/>
      <c r="O16" s="77"/>
      <c r="P16" s="28"/>
      <c r="Q16" s="28"/>
      <c r="R16" s="28"/>
      <c r="S16" s="36"/>
      <c r="T16" s="29"/>
      <c r="U16" s="20" t="s">
        <v>24</v>
      </c>
      <c r="V16" s="20" t="s">
        <v>24</v>
      </c>
      <c r="W16" s="20"/>
      <c r="X16" s="20"/>
    </row>
    <row r="17" spans="1:24" customHeight="1" ht="24.95">
      <c r="A17" s="24">
        <f>+A16+1</f>
        <v>11</v>
      </c>
      <c r="B17" s="7" t="s">
        <v>38</v>
      </c>
      <c r="C17" s="61"/>
      <c r="D17" s="62"/>
      <c r="E17" s="10"/>
      <c r="F17" s="11"/>
      <c r="G17" s="12"/>
      <c r="H17" s="10"/>
      <c r="I17" s="10"/>
      <c r="J17" s="69"/>
      <c r="K17" s="78"/>
      <c r="L17" s="78"/>
      <c r="M17" s="78"/>
      <c r="N17" s="78"/>
      <c r="O17" s="78"/>
      <c r="P17" s="71"/>
      <c r="Q17" s="25"/>
      <c r="R17" s="25"/>
      <c r="S17" s="35"/>
      <c r="T17" s="26"/>
      <c r="U17" s="63"/>
      <c r="V17" s="63"/>
      <c r="W17" s="63"/>
      <c r="X17" s="63"/>
    </row>
    <row r="18" spans="1:24" customHeight="1" ht="24.95" s="21" customFormat="1">
      <c r="A18" s="23">
        <f>+A17+1</f>
        <v>12</v>
      </c>
      <c r="B18" s="100" t="s">
        <v>39</v>
      </c>
      <c r="C18" s="15">
        <v>3.0</v>
      </c>
      <c r="D18" s="16">
        <v>0.5</v>
      </c>
      <c r="E18" s="17">
        <v>0.5</v>
      </c>
      <c r="F18" s="18"/>
      <c r="G18" s="19"/>
      <c r="H18" s="17"/>
      <c r="I18" s="17"/>
      <c r="J18" s="20" t="s">
        <v>40</v>
      </c>
      <c r="K18" s="74"/>
      <c r="L18" s="77"/>
      <c r="M18" s="77"/>
      <c r="N18" s="77"/>
      <c r="O18" s="77"/>
      <c r="P18" s="28"/>
      <c r="Q18" s="28"/>
      <c r="R18" s="28"/>
      <c r="S18" s="36"/>
      <c r="T18" s="29"/>
      <c r="U18" s="20" t="s">
        <v>21</v>
      </c>
      <c r="V18" s="20" t="s">
        <v>24</v>
      </c>
      <c r="W18" s="20"/>
      <c r="X18" s="20"/>
    </row>
    <row r="19" spans="1:24" customHeight="1" ht="24.95">
      <c r="A19" s="24">
        <f>+A18+1</f>
        <v>13</v>
      </c>
      <c r="B19" s="101" t="s">
        <v>41</v>
      </c>
      <c r="C19" s="61">
        <v>3.0</v>
      </c>
      <c r="D19" s="62">
        <v>0.5</v>
      </c>
      <c r="E19" s="10"/>
      <c r="F19" s="11"/>
      <c r="G19" s="12"/>
      <c r="H19" s="10">
        <v>0.5</v>
      </c>
      <c r="I19" s="10"/>
      <c r="J19" s="69"/>
      <c r="K19" s="78"/>
      <c r="L19" s="78"/>
      <c r="M19" s="78"/>
      <c r="N19" s="78"/>
      <c r="O19" s="78"/>
      <c r="P19" s="71"/>
      <c r="Q19" s="25"/>
      <c r="R19" s="25"/>
      <c r="S19" s="35"/>
      <c r="T19" s="26"/>
      <c r="U19" s="63" t="s">
        <v>21</v>
      </c>
      <c r="V19" s="63" t="s">
        <v>24</v>
      </c>
      <c r="W19" s="63"/>
      <c r="X19" s="63"/>
    </row>
    <row r="20" spans="1:24" customHeight="1" ht="24.95" s="21" customFormat="1">
      <c r="A20" s="23">
        <f>+A19+1</f>
        <v>14</v>
      </c>
      <c r="B20" s="101" t="s">
        <v>42</v>
      </c>
      <c r="C20" s="64">
        <v>3.0</v>
      </c>
      <c r="D20" s="65">
        <v>3</v>
      </c>
      <c r="E20" s="17"/>
      <c r="F20" s="18">
        <v>3</v>
      </c>
      <c r="G20" s="19"/>
      <c r="H20" s="17"/>
      <c r="I20" s="17"/>
      <c r="J20" s="70" t="s">
        <v>43</v>
      </c>
      <c r="K20" s="79"/>
      <c r="L20" s="79"/>
      <c r="M20" s="79"/>
      <c r="N20" s="79"/>
      <c r="O20" s="79"/>
      <c r="P20" s="72"/>
      <c r="Q20" s="28"/>
      <c r="R20" s="28"/>
      <c r="S20" s="36"/>
      <c r="T20" s="29"/>
      <c r="U20" s="66" t="s">
        <v>21</v>
      </c>
      <c r="V20" s="66" t="s">
        <v>24</v>
      </c>
      <c r="W20" s="66"/>
      <c r="X20" s="66"/>
    </row>
    <row r="21" spans="1:24" customHeight="1" ht="24.95">
      <c r="A21" s="24">
        <f>+A20+1</f>
        <v>15</v>
      </c>
      <c r="B21" s="102" t="s">
        <v>44</v>
      </c>
      <c r="C21" s="61">
        <v>2.0</v>
      </c>
      <c r="D21" s="62">
        <v>5</v>
      </c>
      <c r="E21" s="10"/>
      <c r="F21" s="11"/>
      <c r="G21" s="12"/>
      <c r="H21" s="10"/>
      <c r="I21" s="10">
        <v>50</v>
      </c>
      <c r="J21" s="69"/>
      <c r="K21" s="78"/>
      <c r="L21" s="78"/>
      <c r="M21" s="78"/>
      <c r="N21" s="78"/>
      <c r="O21" s="78"/>
      <c r="P21" s="73"/>
      <c r="Q21" s="30"/>
      <c r="R21" s="30"/>
      <c r="S21" s="37"/>
      <c r="T21" s="31"/>
      <c r="U21" s="63" t="s">
        <v>24</v>
      </c>
      <c r="V21" s="63" t="s">
        <v>21</v>
      </c>
      <c r="W21" s="63"/>
      <c r="X21" s="63"/>
    </row>
    <row r="22" spans="1:24" customHeight="1" ht="24.95" s="21" customFormat="1">
      <c r="A22" s="23">
        <f>+A21+1</f>
        <v>16</v>
      </c>
      <c r="B22" s="100" t="s">
        <v>45</v>
      </c>
      <c r="C22" s="15">
        <v>2.0</v>
      </c>
      <c r="D22" s="16">
        <v>1</v>
      </c>
      <c r="E22" s="17">
        <v>1</v>
      </c>
      <c r="F22" s="18"/>
      <c r="G22" s="19"/>
      <c r="H22" s="17"/>
      <c r="I22" s="17"/>
      <c r="J22" s="20"/>
      <c r="K22" s="74"/>
      <c r="L22" s="77"/>
      <c r="M22" s="77"/>
      <c r="N22" s="77"/>
      <c r="O22" s="77"/>
      <c r="P22" s="28"/>
      <c r="Q22" s="28"/>
      <c r="R22" s="28"/>
      <c r="S22" s="36"/>
      <c r="T22" s="29"/>
      <c r="U22" s="20" t="s">
        <v>21</v>
      </c>
      <c r="V22" s="20" t="s">
        <v>21</v>
      </c>
      <c r="W22" s="20" t="s">
        <v>27</v>
      </c>
      <c r="X22" s="20"/>
    </row>
    <row r="23" spans="1:24" customHeight="1" ht="24.95">
      <c r="A23" s="24">
        <f>+A22+1</f>
        <v>17</v>
      </c>
      <c r="B23" s="96" t="s">
        <v>46</v>
      </c>
      <c r="C23" s="61">
        <v>2.0</v>
      </c>
      <c r="D23" s="62">
        <v>1</v>
      </c>
      <c r="E23" s="10"/>
      <c r="F23" s="11"/>
      <c r="G23" s="12"/>
      <c r="H23" s="10">
        <v>1</v>
      </c>
      <c r="I23" s="10"/>
      <c r="J23" s="69" t="s">
        <v>47</v>
      </c>
      <c r="K23" s="78"/>
      <c r="L23" s="78"/>
      <c r="M23" s="78"/>
      <c r="N23" s="78"/>
      <c r="O23" s="78"/>
      <c r="P23" s="71"/>
      <c r="Q23" s="25"/>
      <c r="R23" s="25"/>
      <c r="S23" s="35"/>
      <c r="T23" s="26"/>
      <c r="U23" s="63" t="s">
        <v>24</v>
      </c>
      <c r="V23" s="63" t="s">
        <v>21</v>
      </c>
      <c r="W23" s="63"/>
      <c r="X23" s="63"/>
    </row>
    <row r="24" spans="1:24" customHeight="1" ht="24.95" s="21" customFormat="1">
      <c r="A24" s="23">
        <f>+A23+1</f>
        <v>18</v>
      </c>
      <c r="B24" s="96" t="s">
        <v>48</v>
      </c>
      <c r="C24" s="64">
        <v>3.0</v>
      </c>
      <c r="D24" s="65">
        <v>1</v>
      </c>
      <c r="E24" s="17"/>
      <c r="F24" s="18">
        <v>1</v>
      </c>
      <c r="G24" s="19"/>
      <c r="H24" s="17"/>
      <c r="I24" s="17"/>
      <c r="J24" s="70" t="s">
        <v>49</v>
      </c>
      <c r="K24" s="79"/>
      <c r="L24" s="79"/>
      <c r="M24" s="79"/>
      <c r="N24" s="79"/>
      <c r="O24" s="79"/>
      <c r="P24" s="72"/>
      <c r="Q24" s="28"/>
      <c r="R24" s="28"/>
      <c r="S24" s="36"/>
      <c r="T24" s="29"/>
      <c r="U24" s="66" t="s">
        <v>21</v>
      </c>
      <c r="V24" s="66" t="s">
        <v>24</v>
      </c>
      <c r="W24" s="66"/>
      <c r="X24" s="66"/>
    </row>
    <row r="25" spans="1:24" customHeight="1" ht="24.95" s="21" customFormat="1">
      <c r="A25" s="24">
        <f>+A24+1</f>
        <v>19</v>
      </c>
      <c r="B25" s="96" t="s">
        <v>41</v>
      </c>
      <c r="C25" s="61">
        <v>3.0</v>
      </c>
      <c r="D25" s="62">
        <v>1</v>
      </c>
      <c r="E25" s="10"/>
      <c r="F25" s="11">
        <v>1</v>
      </c>
      <c r="G25" s="12"/>
      <c r="H25" s="10"/>
      <c r="I25" s="10"/>
      <c r="J25" s="69"/>
      <c r="K25" s="78"/>
      <c r="L25" s="78"/>
      <c r="M25" s="78"/>
      <c r="N25" s="78"/>
      <c r="O25" s="78"/>
      <c r="P25" s="73"/>
      <c r="Q25" s="30"/>
      <c r="R25" s="30"/>
      <c r="S25" s="37"/>
      <c r="T25" s="31"/>
      <c r="U25" s="63" t="s">
        <v>21</v>
      </c>
      <c r="V25" s="63" t="s">
        <v>24</v>
      </c>
      <c r="W25" s="63"/>
      <c r="X25" s="63"/>
    </row>
    <row r="26" spans="1:24" customHeight="1" ht="24.95" s="21" customFormat="1">
      <c r="A26" s="23">
        <f>+A25+1</f>
        <v>20</v>
      </c>
      <c r="B26" s="14" t="s">
        <v>50</v>
      </c>
      <c r="C26" s="64"/>
      <c r="D26" s="65"/>
      <c r="E26" s="17"/>
      <c r="F26" s="18"/>
      <c r="G26" s="19"/>
      <c r="H26" s="17"/>
      <c r="I26" s="17"/>
      <c r="J26" s="70"/>
      <c r="K26" s="79"/>
      <c r="L26" s="79"/>
      <c r="M26" s="79"/>
      <c r="N26" s="79"/>
      <c r="O26" s="79"/>
      <c r="P26" s="72"/>
      <c r="Q26" s="28"/>
      <c r="R26" s="28"/>
      <c r="S26" s="36"/>
      <c r="T26" s="29"/>
      <c r="U26" s="66"/>
      <c r="V26" s="66"/>
      <c r="W26" s="66"/>
      <c r="X26" s="66"/>
    </row>
    <row r="27" spans="1:24" customHeight="1" ht="24.95" s="21" customFormat="1">
      <c r="A27" s="24">
        <f>+A26+1</f>
        <v>21</v>
      </c>
      <c r="B27" s="96" t="s">
        <v>51</v>
      </c>
      <c r="C27" s="61">
        <v>5.0</v>
      </c>
      <c r="D27" s="62">
        <v>11</v>
      </c>
      <c r="E27" s="10"/>
      <c r="F27" s="11"/>
      <c r="G27" s="12"/>
      <c r="H27" s="10"/>
      <c r="I27" s="10">
        <v>110</v>
      </c>
      <c r="J27" s="63" t="s">
        <v>52</v>
      </c>
      <c r="K27" s="75"/>
      <c r="L27" s="76"/>
      <c r="M27" s="76"/>
      <c r="N27" s="76"/>
      <c r="O27" s="76"/>
      <c r="P27" s="25"/>
      <c r="Q27" s="25"/>
      <c r="R27" s="25"/>
      <c r="S27" s="35"/>
      <c r="T27" s="26"/>
      <c r="U27" s="63" t="s">
        <v>24</v>
      </c>
      <c r="V27" s="63" t="s">
        <v>24</v>
      </c>
      <c r="W27" s="63"/>
      <c r="X27" s="63"/>
    </row>
    <row r="28" spans="1:24" customHeight="1" ht="24.95" s="21" customFormat="1">
      <c r="A28" s="23">
        <f>+A27+1</f>
        <v>22</v>
      </c>
      <c r="B28" s="96" t="s">
        <v>51</v>
      </c>
      <c r="C28" s="15">
        <v>5.0</v>
      </c>
      <c r="D28" s="16">
        <v>11</v>
      </c>
      <c r="E28" s="17"/>
      <c r="F28" s="18"/>
      <c r="G28" s="19"/>
      <c r="H28" s="17"/>
      <c r="I28" s="17">
        <v>110</v>
      </c>
      <c r="J28" s="20" t="s">
        <v>52</v>
      </c>
      <c r="K28" s="27"/>
      <c r="L28" s="28"/>
      <c r="M28" s="28"/>
      <c r="N28" s="28"/>
      <c r="O28" s="28"/>
      <c r="P28" s="28"/>
      <c r="Q28" s="28"/>
      <c r="R28" s="28"/>
      <c r="S28" s="36"/>
      <c r="T28" s="29"/>
      <c r="U28" s="20" t="s">
        <v>24</v>
      </c>
      <c r="V28" s="20" t="s">
        <v>24</v>
      </c>
      <c r="W28" s="20"/>
      <c r="X28" s="20"/>
    </row>
    <row r="29" spans="1:24" customHeight="1" ht="24.95" s="21" customFormat="1">
      <c r="A29" s="24">
        <f>+A28+1</f>
        <v>23</v>
      </c>
      <c r="B29" s="7"/>
      <c r="C29" s="8"/>
      <c r="D29" s="9">
        <f>+E29+F29+(IF(G29=(0.5),0.275,0))+H29+(I29/100)</f>
        <v>0</v>
      </c>
      <c r="E29" s="10"/>
      <c r="F29" s="11"/>
      <c r="G29" s="12"/>
      <c r="H29" s="10"/>
      <c r="I29" s="10"/>
      <c r="J29" s="13"/>
      <c r="K29" s="27"/>
      <c r="L29" s="28"/>
      <c r="M29" s="28"/>
      <c r="N29" s="28"/>
      <c r="O29" s="28"/>
      <c r="P29" s="28"/>
      <c r="Q29" s="28"/>
      <c r="R29" s="28"/>
      <c r="S29" s="36"/>
      <c r="T29" s="29"/>
      <c r="U29" s="13"/>
      <c r="V29" s="13"/>
      <c r="W29" s="13"/>
      <c r="X29" s="13"/>
    </row>
    <row r="30" spans="1:24" customHeight="1" ht="24.95" s="21" customFormat="1">
      <c r="A30" s="23">
        <f>+A29+1</f>
        <v>24</v>
      </c>
      <c r="B30" s="14"/>
      <c r="C30" s="15"/>
      <c r="D30" s="16">
        <f>+E30+F30+(IF(G30=(0.5),0.275,0))+H30+(I30/100)</f>
        <v>0</v>
      </c>
      <c r="E30" s="17"/>
      <c r="F30" s="18"/>
      <c r="G30" s="19"/>
      <c r="H30" s="17"/>
      <c r="I30" s="17"/>
      <c r="J30" s="20"/>
      <c r="K30" s="42">
        <f>SUM(D7:D31)</f>
        <v>48</v>
      </c>
      <c r="L30" s="28"/>
      <c r="M30" s="28"/>
      <c r="N30" s="28"/>
      <c r="O30" s="28"/>
      <c r="P30" s="28"/>
      <c r="Q30" s="28"/>
      <c r="R30" s="28"/>
      <c r="S30" s="36"/>
      <c r="T30" s="29"/>
      <c r="U30" s="20"/>
      <c r="V30" s="20"/>
      <c r="W30" s="20"/>
      <c r="X30" s="20"/>
    </row>
    <row r="31" spans="1:24" customHeight="1" ht="24.75" s="21" customFormat="1">
      <c r="A31" s="43">
        <f>+A30+1</f>
        <v>25</v>
      </c>
      <c r="B31" s="44"/>
      <c r="C31" s="45"/>
      <c r="D31" s="46">
        <f>+E31+F31+(IF(G31=(0.5),0.275,0))+H31+(I31/100)</f>
        <v>0</v>
      </c>
      <c r="E31" s="47"/>
      <c r="F31" s="48"/>
      <c r="G31" s="49"/>
      <c r="H31" s="47"/>
      <c r="I31" s="47"/>
      <c r="J31" s="50"/>
      <c r="K31" s="32">
        <f>(K30-INT(K30))</f>
        <v>0</v>
      </c>
      <c r="L31" s="33"/>
      <c r="M31" s="33"/>
      <c r="N31" s="33"/>
      <c r="O31" s="33"/>
      <c r="P31" s="33"/>
      <c r="Q31" s="33"/>
      <c r="R31" s="33"/>
      <c r="S31" s="38"/>
      <c r="T31" s="34"/>
      <c r="U31" s="50"/>
      <c r="V31" s="50"/>
      <c r="W31" s="50"/>
      <c r="X31" s="50"/>
    </row>
    <row r="32" spans="1:24" customHeight="1" ht="16.5">
      <c r="A32" s="23">
        <f>+A31+1</f>
        <v>26</v>
      </c>
      <c r="B32" s="14"/>
      <c r="C32" s="15"/>
      <c r="D32" s="16">
        <f>+E32+F32+(IF(G32=(0.5),0.275,0))+H32+(I32/100)</f>
        <v>0</v>
      </c>
      <c r="E32" s="17"/>
      <c r="F32" s="18"/>
      <c r="G32" s="19"/>
      <c r="H32" s="17"/>
      <c r="I32" s="17"/>
      <c r="J32" s="20"/>
      <c r="K32" s="27"/>
      <c r="L32" s="28"/>
      <c r="M32" s="28"/>
      <c r="N32" s="28"/>
      <c r="O32" s="28"/>
      <c r="P32" s="28"/>
      <c r="Q32" s="28"/>
      <c r="R32" s="28"/>
      <c r="S32" s="36"/>
      <c r="T32" s="29"/>
      <c r="U32" s="20"/>
      <c r="V32" s="20"/>
      <c r="W32" s="20"/>
      <c r="X32" s="20"/>
    </row>
    <row r="33" spans="1:24" customHeight="1" ht="21.75">
      <c r="A33" s="24">
        <f>+A32+1</f>
        <v>27</v>
      </c>
      <c r="B33" s="7"/>
      <c r="C33" s="8"/>
      <c r="D33" s="9">
        <f>+E33+F33+(IF(G33=(0.5),0.275,0))+H33+(I33/100)</f>
        <v>0</v>
      </c>
      <c r="E33" s="10"/>
      <c r="F33" s="11"/>
      <c r="G33" s="12"/>
      <c r="H33" s="10"/>
      <c r="I33" s="10"/>
      <c r="J33" s="13"/>
      <c r="K33" s="27"/>
      <c r="L33" s="28"/>
      <c r="M33" s="28"/>
      <c r="N33" s="28"/>
      <c r="O33" s="28"/>
      <c r="P33" s="28"/>
      <c r="Q33" s="28"/>
      <c r="R33" s="28"/>
      <c r="S33" s="36"/>
      <c r="T33" s="29"/>
      <c r="U33" s="13"/>
      <c r="V33" s="13"/>
      <c r="W33" s="13"/>
      <c r="X33" s="13"/>
    </row>
    <row r="34" spans="1:24" customHeight="1" ht="15.75">
      <c r="A34" s="23">
        <f>+A33+1</f>
        <v>28</v>
      </c>
      <c r="B34" s="14"/>
      <c r="C34" s="15"/>
      <c r="D34" s="16">
        <f>+E34+F34+(IF(G34=(0.5),0.275,0))+H34+(I34/100)</f>
        <v>0</v>
      </c>
      <c r="E34" s="17"/>
      <c r="F34" s="18"/>
      <c r="G34" s="19"/>
      <c r="H34" s="17"/>
      <c r="I34" s="17"/>
      <c r="J34" s="20"/>
      <c r="K34" s="42">
        <f>SUM(D11:D35)</f>
        <v>39</v>
      </c>
      <c r="L34" s="28"/>
      <c r="M34" s="28"/>
      <c r="N34" s="28"/>
      <c r="O34" s="28"/>
      <c r="P34" s="28"/>
      <c r="Q34" s="28"/>
      <c r="R34" s="28"/>
      <c r="S34" s="36"/>
      <c r="T34" s="29"/>
      <c r="U34" s="20"/>
      <c r="V34" s="20"/>
      <c r="W34" s="20"/>
      <c r="X34" s="20"/>
    </row>
    <row r="35" spans="1:24" customHeight="1" ht="15.75">
      <c r="A35" s="43">
        <f>+A34+1</f>
        <v>29</v>
      </c>
      <c r="B35" s="44"/>
      <c r="C35" s="45"/>
      <c r="D35" s="46">
        <f>+E35+F35+(IF(G35=(0.5),0.275,0))+H35+(I35/100)</f>
        <v>0</v>
      </c>
      <c r="E35" s="47"/>
      <c r="F35" s="48"/>
      <c r="G35" s="49"/>
      <c r="H35" s="47"/>
      <c r="I35" s="47"/>
      <c r="J35" s="50"/>
      <c r="K35" s="32">
        <f>(K34-INT(K34))</f>
        <v>0</v>
      </c>
      <c r="L35" s="33"/>
      <c r="M35" s="33"/>
      <c r="N35" s="33"/>
      <c r="O35" s="33"/>
      <c r="P35" s="33"/>
      <c r="Q35" s="33"/>
      <c r="R35" s="33"/>
      <c r="S35" s="38"/>
      <c r="T35" s="34"/>
      <c r="U35" s="50"/>
      <c r="V35" s="50"/>
      <c r="W35" s="50"/>
      <c r="X35" s="50"/>
    </row>
    <row r="36" spans="1:24" customHeight="1" ht="15.75">
      <c r="A36" s="23">
        <f>+A35+1</f>
        <v>30</v>
      </c>
      <c r="B36" s="14"/>
      <c r="C36" s="15"/>
      <c r="D36" s="16">
        <f>+E36+F36+(IF(G36=(0.5),0.275,0))+H36+(I36/100)</f>
        <v>0</v>
      </c>
      <c r="E36" s="17"/>
      <c r="F36" s="18"/>
      <c r="G36" s="19"/>
      <c r="H36" s="17"/>
      <c r="I36" s="17"/>
      <c r="J36" s="20"/>
      <c r="K36" s="27"/>
      <c r="L36" s="28"/>
      <c r="M36" s="28"/>
      <c r="N36" s="28"/>
      <c r="O36" s="28"/>
      <c r="P36" s="28"/>
      <c r="Q36" s="28"/>
      <c r="R36" s="28"/>
      <c r="S36" s="36"/>
      <c r="T36" s="29"/>
      <c r="U36" s="20"/>
      <c r="V36" s="20"/>
      <c r="W36" s="20"/>
      <c r="X36" s="20"/>
    </row>
    <row r="37" spans="1:24" customHeight="1" ht="15.75">
      <c r="A37" s="24">
        <f>+A36+1</f>
        <v>31</v>
      </c>
      <c r="B37" s="7"/>
      <c r="C37" s="8"/>
      <c r="D37" s="9">
        <f>+E37+F37+(IF(G37=(0.5),0.275,0))+H37+(I37/100)</f>
        <v>0</v>
      </c>
      <c r="E37" s="10"/>
      <c r="F37" s="11"/>
      <c r="G37" s="12"/>
      <c r="H37" s="10"/>
      <c r="I37" s="10"/>
      <c r="J37" s="13"/>
      <c r="K37" s="27"/>
      <c r="L37" s="28"/>
      <c r="M37" s="28"/>
      <c r="N37" s="28"/>
      <c r="O37" s="28"/>
      <c r="P37" s="28"/>
      <c r="Q37" s="28"/>
      <c r="R37" s="28"/>
      <c r="S37" s="36"/>
      <c r="T37" s="29"/>
      <c r="U37" s="13"/>
      <c r="V37" s="13"/>
      <c r="W37" s="13"/>
      <c r="X37" s="13"/>
    </row>
    <row r="38" spans="1:24" customHeight="1" ht="15.75">
      <c r="A38" s="23">
        <f>+A37+1</f>
        <v>32</v>
      </c>
      <c r="B38" s="14"/>
      <c r="C38" s="15"/>
      <c r="D38" s="16">
        <f>+E38+F38+(IF(G38=(0.5),0.275,0))+H38+(I38/100)</f>
        <v>0</v>
      </c>
      <c r="E38" s="17"/>
      <c r="F38" s="18"/>
      <c r="G38" s="19"/>
      <c r="H38" s="17"/>
      <c r="I38" s="17"/>
      <c r="J38" s="20"/>
      <c r="K38" s="42">
        <f>SUM(D15:D39)</f>
        <v>37</v>
      </c>
      <c r="L38" s="28"/>
      <c r="M38" s="28"/>
      <c r="N38" s="28"/>
      <c r="O38" s="28"/>
      <c r="P38" s="28"/>
      <c r="Q38" s="28"/>
      <c r="R38" s="28"/>
      <c r="S38" s="36"/>
      <c r="T38" s="29"/>
      <c r="U38" s="20"/>
      <c r="V38" s="20"/>
      <c r="W38" s="20"/>
      <c r="X38" s="20"/>
    </row>
    <row r="39" spans="1:24" customHeight="1" ht="15.75">
      <c r="A39" s="43">
        <f>+A38+1</f>
        <v>33</v>
      </c>
      <c r="B39" s="44"/>
      <c r="C39" s="45"/>
      <c r="D39" s="46">
        <f>+E39+F39+(IF(G39=(0.5),0.275,0))+H39+(I39/100)</f>
        <v>0</v>
      </c>
      <c r="E39" s="47"/>
      <c r="F39" s="48"/>
      <c r="G39" s="49"/>
      <c r="H39" s="47"/>
      <c r="I39" s="47"/>
      <c r="J39" s="50"/>
      <c r="K39" s="32">
        <f>(K38-INT(K38))</f>
        <v>0</v>
      </c>
      <c r="L39" s="33"/>
      <c r="M39" s="33"/>
      <c r="N39" s="33"/>
      <c r="O39" s="33"/>
      <c r="P39" s="33"/>
      <c r="Q39" s="33"/>
      <c r="R39" s="33"/>
      <c r="S39" s="38"/>
      <c r="T39" s="34"/>
      <c r="U39" s="50"/>
      <c r="V39" s="50"/>
      <c r="W39" s="50"/>
      <c r="X39" s="50"/>
    </row>
    <row r="40" spans="1:24" customHeight="1" ht="15.75">
      <c r="A40" s="23">
        <f>+A39+1</f>
        <v>34</v>
      </c>
      <c r="B40" s="14"/>
      <c r="C40" s="15"/>
      <c r="D40" s="16">
        <f>+E40+F40+(IF(G40=(0.5),0.275,0))+H40+(I40/100)</f>
        <v>0</v>
      </c>
      <c r="E40" s="17"/>
      <c r="F40" s="18"/>
      <c r="G40" s="19"/>
      <c r="H40" s="17"/>
      <c r="I40" s="17"/>
      <c r="J40" s="20"/>
      <c r="K40" s="27"/>
      <c r="L40" s="28"/>
      <c r="M40" s="28"/>
      <c r="N40" s="28"/>
      <c r="O40" s="28"/>
      <c r="P40" s="28"/>
      <c r="Q40" s="28"/>
      <c r="R40" s="28"/>
      <c r="S40" s="36"/>
      <c r="T40" s="29"/>
      <c r="U40" s="20"/>
      <c r="V40" s="20"/>
      <c r="W40" s="20"/>
      <c r="X40" s="20"/>
    </row>
    <row r="41" spans="1:24" customHeight="1" ht="15.75">
      <c r="A41" s="24">
        <f>+A40+1</f>
        <v>35</v>
      </c>
      <c r="B41" s="7"/>
      <c r="C41" s="8"/>
      <c r="D41" s="9">
        <f>+E41+F41+(IF(G41=(0.5),0.275,0))+H41+(I41/100)</f>
        <v>0</v>
      </c>
      <c r="E41" s="10"/>
      <c r="F41" s="11"/>
      <c r="G41" s="12"/>
      <c r="H41" s="10"/>
      <c r="I41" s="10"/>
      <c r="J41" s="13"/>
      <c r="K41" s="27"/>
      <c r="L41" s="28"/>
      <c r="M41" s="28"/>
      <c r="N41" s="28"/>
      <c r="O41" s="28"/>
      <c r="P41" s="28"/>
      <c r="Q41" s="28"/>
      <c r="R41" s="28"/>
      <c r="S41" s="36"/>
      <c r="T41" s="29"/>
      <c r="U41" s="13"/>
      <c r="V41" s="13"/>
      <c r="W41" s="13"/>
      <c r="X41" s="13"/>
    </row>
    <row r="42" spans="1:24" customHeight="1" ht="15.75">
      <c r="A42" s="23">
        <f>+A41+1</f>
        <v>36</v>
      </c>
      <c r="B42" s="14"/>
      <c r="C42" s="15"/>
      <c r="D42" s="16">
        <f>+E42+F42+(IF(G42=(0.5),0.275,0))+H42+(I42/100)</f>
        <v>0</v>
      </c>
      <c r="E42" s="17"/>
      <c r="F42" s="18"/>
      <c r="G42" s="19"/>
      <c r="H42" s="17"/>
      <c r="I42" s="17"/>
      <c r="J42" s="20"/>
      <c r="K42" s="42">
        <f>SUM(D19:D43)</f>
        <v>34.5</v>
      </c>
      <c r="L42" s="28"/>
      <c r="M42" s="28"/>
      <c r="N42" s="28"/>
      <c r="O42" s="28"/>
      <c r="P42" s="28"/>
      <c r="Q42" s="28"/>
      <c r="R42" s="28"/>
      <c r="S42" s="36"/>
      <c r="T42" s="29"/>
      <c r="U42" s="20"/>
      <c r="V42" s="20"/>
      <c r="W42" s="20"/>
      <c r="X42" s="20"/>
    </row>
    <row r="43" spans="1:24" customHeight="1" ht="15.75">
      <c r="A43" s="43">
        <f>+A42+1</f>
        <v>37</v>
      </c>
      <c r="B43" s="44"/>
      <c r="C43" s="45"/>
      <c r="D43" s="46">
        <f>+E43+F43+(IF(G43=(0.5),0.275,0))+H43+(I43/100)</f>
        <v>0</v>
      </c>
      <c r="E43" s="47"/>
      <c r="F43" s="48"/>
      <c r="G43" s="49"/>
      <c r="H43" s="47"/>
      <c r="I43" s="47"/>
      <c r="J43" s="50"/>
      <c r="K43" s="32">
        <f>(K42-INT(K42))</f>
        <v>0.5</v>
      </c>
      <c r="L43" s="33"/>
      <c r="M43" s="33"/>
      <c r="N43" s="33"/>
      <c r="O43" s="33"/>
      <c r="P43" s="33"/>
      <c r="Q43" s="33"/>
      <c r="R43" s="33"/>
      <c r="S43" s="38"/>
      <c r="T43" s="34"/>
      <c r="U43" s="50"/>
      <c r="V43" s="50"/>
      <c r="W43" s="50"/>
      <c r="X43" s="50"/>
    </row>
    <row r="44" spans="1:24" customHeight="1" ht="15.75">
      <c r="A44" s="23">
        <f>+A43+1</f>
        <v>38</v>
      </c>
      <c r="B44" s="14"/>
      <c r="C44" s="15"/>
      <c r="D44" s="16">
        <f>+E44+F44+(IF(G44=(0.5),0.275,0))+H44+(I44/100)</f>
        <v>0</v>
      </c>
      <c r="E44" s="17"/>
      <c r="F44" s="18"/>
      <c r="G44" s="19"/>
      <c r="H44" s="17"/>
      <c r="I44" s="17"/>
      <c r="J44" s="20"/>
      <c r="K44" s="27"/>
      <c r="L44" s="28"/>
      <c r="M44" s="28"/>
      <c r="N44" s="28"/>
      <c r="O44" s="28"/>
      <c r="P44" s="28"/>
      <c r="Q44" s="28"/>
      <c r="R44" s="28"/>
      <c r="S44" s="36"/>
      <c r="T44" s="29"/>
      <c r="U44" s="20"/>
      <c r="V44" s="20"/>
      <c r="W44" s="20"/>
      <c r="X44" s="20"/>
    </row>
    <row r="45" spans="1:24" customHeight="1" ht="15.75">
      <c r="A45" s="24">
        <f>+A44+1</f>
        <v>39</v>
      </c>
      <c r="B45" s="7"/>
      <c r="C45" s="8"/>
      <c r="D45" s="9">
        <f>+E45+F45+(IF(G45=(0.5),0.275,0))+H45+(I45/100)</f>
        <v>0</v>
      </c>
      <c r="E45" s="10"/>
      <c r="F45" s="11"/>
      <c r="G45" s="12"/>
      <c r="H45" s="10"/>
      <c r="I45" s="10"/>
      <c r="J45" s="13"/>
      <c r="K45" s="27"/>
      <c r="L45" s="28"/>
      <c r="M45" s="28"/>
      <c r="N45" s="28"/>
      <c r="O45" s="28"/>
      <c r="P45" s="28"/>
      <c r="Q45" s="28"/>
      <c r="R45" s="28"/>
      <c r="S45" s="36"/>
      <c r="T45" s="29"/>
      <c r="U45" s="13"/>
      <c r="V45" s="13"/>
      <c r="W45" s="13"/>
      <c r="X45" s="13"/>
    </row>
    <row r="46" spans="1:24" customHeight="1" ht="15.75">
      <c r="A46" s="23">
        <f>+A45+1</f>
        <v>40</v>
      </c>
      <c r="B46" s="14"/>
      <c r="C46" s="15"/>
      <c r="D46" s="16">
        <f>+E46+F46+(IF(G46=(0.5),0.275,0))+H46+(I46/100)</f>
        <v>0</v>
      </c>
      <c r="E46" s="17"/>
      <c r="F46" s="18"/>
      <c r="G46" s="19"/>
      <c r="H46" s="17"/>
      <c r="I46" s="17"/>
      <c r="J46" s="20"/>
      <c r="K46" s="42">
        <f>SUM(D23:D47)</f>
        <v>25</v>
      </c>
      <c r="L46" s="28"/>
      <c r="M46" s="28"/>
      <c r="N46" s="28"/>
      <c r="O46" s="28"/>
      <c r="P46" s="28"/>
      <c r="Q46" s="28"/>
      <c r="R46" s="28"/>
      <c r="S46" s="36"/>
      <c r="T46" s="29"/>
      <c r="U46" s="20"/>
      <c r="V46" s="20"/>
      <c r="W46" s="20"/>
      <c r="X46" s="20"/>
    </row>
    <row r="47" spans="1:24" customHeight="1" ht="15.75">
      <c r="A47" s="43">
        <f>+A46+1</f>
        <v>41</v>
      </c>
      <c r="B47" s="44"/>
      <c r="C47" s="45"/>
      <c r="D47" s="46">
        <f>+E47+F47+(IF(G47=(0.5),0.275,0))+H47+(I47/100)</f>
        <v>0</v>
      </c>
      <c r="E47" s="47"/>
      <c r="F47" s="48"/>
      <c r="G47" s="49"/>
      <c r="H47" s="47"/>
      <c r="I47" s="47"/>
      <c r="J47" s="50"/>
      <c r="K47" s="32">
        <f>(K46-INT(K46))</f>
        <v>0</v>
      </c>
      <c r="L47" s="33"/>
      <c r="M47" s="33"/>
      <c r="N47" s="33"/>
      <c r="O47" s="33"/>
      <c r="P47" s="33"/>
      <c r="Q47" s="33"/>
      <c r="R47" s="33"/>
      <c r="S47" s="38"/>
      <c r="T47" s="34"/>
      <c r="U47" s="50"/>
      <c r="V47" s="50"/>
      <c r="W47" s="50"/>
      <c r="X47" s="50"/>
    </row>
    <row r="48" spans="1:24" customHeight="1" ht="15.75">
      <c r="A48" s="23">
        <f>+A47+1</f>
        <v>42</v>
      </c>
      <c r="B48" s="14"/>
      <c r="C48" s="15"/>
      <c r="D48" s="16">
        <f>+E48+F48+(IF(G48=(0.5),0.275,0))+H48+(I48/100)</f>
        <v>0</v>
      </c>
      <c r="E48" s="17"/>
      <c r="F48" s="18"/>
      <c r="G48" s="19"/>
      <c r="H48" s="17"/>
      <c r="I48" s="17"/>
      <c r="J48" s="20"/>
      <c r="K48" s="27"/>
      <c r="L48" s="28"/>
      <c r="M48" s="28"/>
      <c r="N48" s="28"/>
      <c r="O48" s="28"/>
      <c r="P48" s="28"/>
      <c r="Q48" s="28"/>
      <c r="R48" s="28"/>
      <c r="S48" s="36"/>
      <c r="T48" s="29"/>
      <c r="U48" s="20"/>
      <c r="V48" s="20"/>
      <c r="W48" s="20"/>
      <c r="X48" s="20"/>
    </row>
    <row r="49" spans="1:24" customHeight="1" ht="15.75">
      <c r="A49" s="24">
        <f>+A48+1</f>
        <v>43</v>
      </c>
      <c r="B49" s="7"/>
      <c r="C49" s="8"/>
      <c r="D49" s="9">
        <f>+E49+F49+(IF(G49=(0.5),0.275,0))+H49+(I49/100)</f>
        <v>0</v>
      </c>
      <c r="E49" s="10"/>
      <c r="F49" s="11"/>
      <c r="G49" s="12"/>
      <c r="H49" s="10"/>
      <c r="I49" s="10"/>
      <c r="J49" s="13"/>
      <c r="K49" s="27"/>
      <c r="L49" s="28"/>
      <c r="M49" s="28"/>
      <c r="N49" s="28"/>
      <c r="O49" s="28"/>
      <c r="P49" s="28"/>
      <c r="Q49" s="28"/>
      <c r="R49" s="28"/>
      <c r="S49" s="36"/>
      <c r="T49" s="29"/>
      <c r="U49" s="13"/>
      <c r="V49" s="13"/>
      <c r="W49" s="13"/>
      <c r="X49" s="13"/>
    </row>
    <row r="50" spans="1:24" customHeight="1" ht="15.75">
      <c r="A50" s="23">
        <f>+A49+1</f>
        <v>44</v>
      </c>
      <c r="B50" s="14"/>
      <c r="C50" s="15"/>
      <c r="D50" s="16">
        <f>+E50+F50+(IF(G50=(0.5),0.275,0))+H50+(I50/100)</f>
        <v>0</v>
      </c>
      <c r="E50" s="17"/>
      <c r="F50" s="18"/>
      <c r="G50" s="19"/>
      <c r="H50" s="17"/>
      <c r="I50" s="17"/>
      <c r="J50" s="20"/>
      <c r="K50" s="42">
        <f>SUM(D27:D51)</f>
        <v>22</v>
      </c>
      <c r="L50" s="28"/>
      <c r="M50" s="28"/>
      <c r="N50" s="28"/>
      <c r="O50" s="28"/>
      <c r="P50" s="28"/>
      <c r="Q50" s="28"/>
      <c r="R50" s="28"/>
      <c r="S50" s="36"/>
      <c r="T50" s="29"/>
      <c r="U50" s="20"/>
      <c r="V50" s="20"/>
      <c r="W50" s="20"/>
      <c r="X50" s="20"/>
    </row>
    <row r="51" spans="1:24" customHeight="1" ht="15.75">
      <c r="A51" s="43">
        <f>+A50+1</f>
        <v>45</v>
      </c>
      <c r="B51" s="44"/>
      <c r="C51" s="45"/>
      <c r="D51" s="46">
        <f>+E51+F51+(IF(G51=(0.5),0.275,0))+H51+(I51/100)</f>
        <v>0</v>
      </c>
      <c r="E51" s="47"/>
      <c r="F51" s="48"/>
      <c r="G51" s="49"/>
      <c r="H51" s="47"/>
      <c r="I51" s="47"/>
      <c r="J51" s="50"/>
      <c r="K51" s="32">
        <f>(K50-INT(K50))</f>
        <v>0</v>
      </c>
      <c r="L51" s="33"/>
      <c r="M51" s="33"/>
      <c r="N51" s="33"/>
      <c r="O51" s="33"/>
      <c r="P51" s="33"/>
      <c r="Q51" s="33"/>
      <c r="R51" s="33"/>
      <c r="S51" s="38"/>
      <c r="T51" s="34"/>
      <c r="U51" s="50"/>
      <c r="V51" s="50"/>
      <c r="W51" s="50"/>
      <c r="X51" s="50"/>
    </row>
    <row r="52" spans="1:24" customHeight="1" ht="15.75">
      <c r="A52" s="23">
        <f>+A51+1</f>
        <v>46</v>
      </c>
      <c r="B52" s="14"/>
      <c r="C52" s="15"/>
      <c r="D52" s="16">
        <f>+E52+F52+(IF(G52=(0.5),0.275,0))+H52+(I52/100)</f>
        <v>0</v>
      </c>
      <c r="E52" s="17"/>
      <c r="F52" s="18"/>
      <c r="G52" s="19"/>
      <c r="H52" s="17"/>
      <c r="I52" s="17"/>
      <c r="J52" s="20"/>
      <c r="K52" s="27"/>
      <c r="L52" s="28"/>
      <c r="M52" s="28"/>
      <c r="N52" s="28"/>
      <c r="O52" s="28"/>
      <c r="P52" s="28"/>
      <c r="Q52" s="28"/>
      <c r="R52" s="28"/>
      <c r="S52" s="36"/>
      <c r="T52" s="29"/>
      <c r="U52" s="20"/>
      <c r="V52" s="20"/>
      <c r="W52" s="20"/>
      <c r="X52" s="20"/>
    </row>
    <row r="53" spans="1:24" customHeight="1" ht="15.75">
      <c r="A53" s="24">
        <f>+A52+1</f>
        <v>47</v>
      </c>
      <c r="B53" s="7"/>
      <c r="C53" s="8"/>
      <c r="D53" s="9">
        <f>+E53+F53+(IF(G53=(0.5),0.275,0))+H53+(I53/100)</f>
        <v>0</v>
      </c>
      <c r="E53" s="10"/>
      <c r="F53" s="11"/>
      <c r="G53" s="12"/>
      <c r="H53" s="10"/>
      <c r="I53" s="10"/>
      <c r="J53" s="13"/>
      <c r="K53" s="27"/>
      <c r="L53" s="28"/>
      <c r="M53" s="28"/>
      <c r="N53" s="28"/>
      <c r="O53" s="28"/>
      <c r="P53" s="28"/>
      <c r="Q53" s="28"/>
      <c r="R53" s="28"/>
      <c r="S53" s="36"/>
      <c r="T53" s="29"/>
      <c r="U53" s="13"/>
      <c r="V53" s="13"/>
      <c r="W53" s="13"/>
      <c r="X53" s="13"/>
    </row>
    <row r="54" spans="1:24" customHeight="1" ht="15.75">
      <c r="A54" s="23">
        <f>+A53+1</f>
        <v>48</v>
      </c>
      <c r="B54" s="14"/>
      <c r="C54" s="15"/>
      <c r="D54" s="16">
        <f>+E54+F54+(IF(G54=(0.5),0.275,0))+H54+(I54/100)</f>
        <v>0</v>
      </c>
      <c r="E54" s="17"/>
      <c r="F54" s="18"/>
      <c r="G54" s="19"/>
      <c r="H54" s="17"/>
      <c r="I54" s="17"/>
      <c r="J54" s="20"/>
      <c r="K54" s="42">
        <f>SUM(D31:D55)</f>
        <v>0</v>
      </c>
      <c r="L54" s="28"/>
      <c r="M54" s="28"/>
      <c r="N54" s="28"/>
      <c r="O54" s="28"/>
      <c r="P54" s="28"/>
      <c r="Q54" s="28"/>
      <c r="R54" s="28"/>
      <c r="S54" s="36"/>
      <c r="T54" s="29"/>
      <c r="U54" s="20"/>
      <c r="V54" s="20"/>
      <c r="W54" s="20"/>
      <c r="X54" s="20"/>
    </row>
    <row r="55" spans="1:24" customHeight="1" ht="15.75">
      <c r="A55" s="43">
        <f>+A54+1</f>
        <v>49</v>
      </c>
      <c r="B55" s="44"/>
      <c r="C55" s="45"/>
      <c r="D55" s="46">
        <f>+E55+F55+(IF(G55=(0.5),0.275,0))+H55+(I55/100)</f>
        <v>0</v>
      </c>
      <c r="E55" s="47"/>
      <c r="F55" s="48"/>
      <c r="G55" s="49"/>
      <c r="H55" s="47"/>
      <c r="I55" s="47"/>
      <c r="J55" s="50"/>
      <c r="K55" s="32">
        <f>(K54-INT(K54))</f>
        <v>0</v>
      </c>
      <c r="L55" s="33"/>
      <c r="M55" s="33"/>
      <c r="N55" s="33"/>
      <c r="O55" s="33"/>
      <c r="P55" s="33"/>
      <c r="Q55" s="33"/>
      <c r="R55" s="33"/>
      <c r="S55" s="38"/>
      <c r="T55" s="34"/>
      <c r="U55" s="50"/>
      <c r="V55" s="50"/>
      <c r="W55" s="50"/>
      <c r="X55" s="50"/>
    </row>
    <row r="56" spans="1:24" customHeight="1" ht="15.75"/>
    <row r="57" spans="1:24" customHeight="1" ht="15.75"/>
    <row r="58" spans="1:24" customHeight="1" ht="15.75"/>
    <row r="59" spans="1:24" customHeight="1" ht="15.75"/>
    <row r="60" spans="1:24" customHeight="1" ht="15.75"/>
    <row r="61" spans="1:24" customHeight="1" ht="15.75"/>
    <row r="62" spans="1:24" customHeight="1" ht="15.75"/>
    <row r="63" spans="1:24" customHeight="1" ht="15.75"/>
    <row r="64" spans="1:24" customHeight="1" ht="15.75"/>
    <row r="65" spans="1:24" customHeight="1" ht="15.75"/>
    <row r="66" spans="1:24" customHeight="1" ht="15.75"/>
    <row r="67" spans="1:24" customHeight="1" ht="15.75"/>
    <row r="68" spans="1:24" customHeight="1" ht="15.75"/>
    <row r="69" spans="1:24" customHeight="1" ht="15.75"/>
    <row r="70" spans="1:24" customHeight="1" ht="15.75"/>
    <row r="71" spans="1:24" customHeight="1" ht="15.75"/>
    <row r="72" spans="1:24" customHeight="1" ht="15.75"/>
    <row r="73" spans="1:24" customHeight="1" ht="15.75"/>
    <row r="74" spans="1:24" customHeight="1" ht="15.75"/>
    <row r="75" spans="1:24" customHeight="1" ht="15.75"/>
    <row r="76" spans="1:24" customHeight="1" ht="15.75"/>
    <row r="77" spans="1:24" customHeight="1" ht="15.75"/>
    <row r="78" spans="1:24" customHeight="1" ht="15.75"/>
    <row r="79" spans="1:24" customHeight="1" ht="15.75"/>
    <row r="80" spans="1:24" customHeight="1" ht="15.75"/>
    <row r="81" spans="1:24" customHeight="1" ht="15.75"/>
    <row r="82" spans="1:24" customHeight="1" ht="15.75"/>
    <row r="83" spans="1:24" customHeight="1" ht="15.75"/>
    <row r="84" spans="1:24" customHeight="1" ht="15.75"/>
    <row r="85" spans="1:24" customHeight="1" ht="15.75"/>
    <row r="86" spans="1:24" customHeight="1" ht="15.75"/>
    <row r="87" spans="1:24" customHeight="1" ht="15.75"/>
    <row r="88" spans="1:24" customHeight="1" ht="15.75"/>
    <row r="89" spans="1:24" customHeight="1" ht="15.75"/>
    <row r="90" spans="1:24" customHeight="1" ht="15.75"/>
    <row r="91" spans="1:24" customHeight="1" ht="15.75"/>
    <row r="92" spans="1:24" customHeight="1" ht="15.75"/>
    <row r="93" spans="1:24" customHeight="1" ht="15.75"/>
    <row r="94" spans="1:24" customHeight="1" ht="15.75"/>
    <row r="95" spans="1:24" customHeight="1" ht="15.75"/>
    <row r="96" spans="1:24" customHeight="1" ht="15.75"/>
    <row r="97" spans="1:24" customHeight="1" ht="15.75"/>
    <row r="98" spans="1:24" customHeight="1" ht="15.75"/>
    <row r="99" spans="1:24" customHeight="1" ht="15.75"/>
    <row r="100" spans="1:24" customHeight="1" ht="15.75"/>
    <row r="101" spans="1:24" customHeight="1" ht="15.75"/>
    <row r="102" spans="1:24" customHeight="1" ht="15.75"/>
    <row r="103" spans="1:24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4:V5"/>
    <mergeCell ref="W4:W5"/>
    <mergeCell ref="F4:F5"/>
    <mergeCell ref="A4:A5"/>
    <mergeCell ref="B4:B5"/>
    <mergeCell ref="E4:E5"/>
    <mergeCell ref="C4:C5"/>
    <mergeCell ref="D4:D5"/>
    <mergeCell ref="X4:X5"/>
    <mergeCell ref="U4:U5"/>
    <mergeCell ref="B1:I1"/>
    <mergeCell ref="P4:P5"/>
    <mergeCell ref="Q4:Q5"/>
    <mergeCell ref="R4:R5"/>
    <mergeCell ref="T4:T5"/>
    <mergeCell ref="S4:S5"/>
    <mergeCell ref="K4:K5"/>
    <mergeCell ref="L4:L5"/>
    <mergeCell ref="M4:M5"/>
    <mergeCell ref="N4:N5"/>
    <mergeCell ref="O4:O5"/>
    <mergeCell ref="J4:J5"/>
    <mergeCell ref="H4:H5"/>
    <mergeCell ref="C3:H3"/>
  </mergeCells>
  <printOptions gridLines="false" gridLinesSet="true"/>
  <pageMargins left="0.11811023622047" right="0.31496062992126" top="0.15748031496063" bottom="0.15748031496063" header="0" footer="0"/>
  <pageSetup paperSize="9" orientation="landscape" scale="81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2025-07-03T20:39:38-04:00</dcterms:modified>
  <dc:title/>
  <dc:description/>
  <dc:subject/>
  <cp:keywords/>
  <cp:category/>
</cp:coreProperties>
</file>