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  <sheet name="Hoja2" sheetId="2" r:id="rId2"/>
  </sheets>
  <definedNames>
    <definedName name="_xlnm._FilterDatabase" localSheetId="0" hidden="1">Hoja1!$A$1:$J$372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J19" i="1"/>
  <c r="J26" i="1"/>
  <c r="J27" i="1"/>
  <c r="J53" i="1"/>
  <c r="J59" i="1"/>
  <c r="J90" i="1"/>
  <c r="J101" i="1"/>
  <c r="J116" i="1"/>
  <c r="J121" i="1"/>
  <c r="J130" i="1"/>
  <c r="J132" i="1"/>
  <c r="J150" i="1"/>
  <c r="J153" i="1"/>
  <c r="J165" i="1"/>
  <c r="J169" i="1"/>
  <c r="J220" i="1"/>
  <c r="J223" i="1"/>
  <c r="J236" i="1"/>
  <c r="J249" i="1"/>
  <c r="J257" i="1"/>
  <c r="J258" i="1"/>
  <c r="J265" i="1"/>
  <c r="J266" i="1"/>
  <c r="J273" i="1"/>
  <c r="J276" i="1"/>
  <c r="J288" i="1"/>
  <c r="J292" i="1"/>
  <c r="J307" i="1"/>
  <c r="J308" i="1"/>
  <c r="J317" i="1"/>
  <c r="J318" i="1"/>
  <c r="J334" i="1"/>
  <c r="J335" i="1"/>
  <c r="J342" i="1"/>
  <c r="J343" i="1"/>
  <c r="J350" i="1"/>
  <c r="J351" i="1"/>
  <c r="J358" i="1"/>
  <c r="J359" i="1"/>
  <c r="J371" i="1"/>
  <c r="J372" i="1"/>
  <c r="J200" i="1"/>
  <c r="J144" i="1"/>
  <c r="J185" i="1"/>
  <c r="J93" i="1"/>
  <c r="J110" i="1"/>
  <c r="J120" i="1"/>
  <c r="J67" i="1"/>
  <c r="J68" i="1"/>
  <c r="J170" i="1"/>
  <c r="J212" i="1"/>
  <c r="J203" i="1"/>
  <c r="J209" i="1"/>
  <c r="J4" i="1"/>
  <c r="J5" i="1"/>
  <c r="J199" i="1"/>
  <c r="J160" i="1"/>
  <c r="J299" i="1"/>
  <c r="J274" i="1"/>
  <c r="J214" i="1"/>
  <c r="J201" i="1"/>
  <c r="J328" i="1"/>
  <c r="J329" i="1"/>
  <c r="J40" i="1"/>
  <c r="J35" i="1"/>
  <c r="J117" i="1"/>
  <c r="J133" i="1"/>
  <c r="J244" i="1"/>
  <c r="J293" i="1"/>
  <c r="J238" i="1"/>
  <c r="J242" i="1"/>
  <c r="J139" i="1"/>
  <c r="J140" i="1"/>
  <c r="J283" i="1"/>
  <c r="J284" i="1"/>
  <c r="J118" i="1"/>
  <c r="J119" i="1"/>
  <c r="J92" i="1"/>
  <c r="J310" i="1"/>
  <c r="J204" i="1"/>
  <c r="J286" i="1"/>
  <c r="J222" i="1"/>
  <c r="J46" i="1"/>
  <c r="J324" i="1"/>
  <c r="J33" i="1"/>
  <c r="J48" i="1"/>
  <c r="J43" i="1"/>
  <c r="J294" i="1"/>
  <c r="J78" i="1"/>
  <c r="J248" i="1"/>
  <c r="J15" i="1"/>
  <c r="I9" i="1"/>
  <c r="J9" i="1" s="1"/>
  <c r="I11" i="1"/>
  <c r="J11" i="1" s="1"/>
  <c r="I12" i="1"/>
  <c r="J12" i="1" s="1"/>
  <c r="I13" i="1"/>
  <c r="J13" i="1" s="1"/>
  <c r="I14" i="1"/>
  <c r="J14" i="1" s="1"/>
  <c r="I17" i="1"/>
  <c r="J17" i="1" s="1"/>
  <c r="I18" i="1"/>
  <c r="I19" i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I29" i="1"/>
  <c r="J29" i="1" s="1"/>
  <c r="I31" i="1"/>
  <c r="J31" i="1" s="1"/>
  <c r="I34" i="1"/>
  <c r="J34" i="1" s="1"/>
  <c r="I45" i="1"/>
  <c r="J45" i="1" s="1"/>
  <c r="I47" i="1"/>
  <c r="J47" i="1" s="1"/>
  <c r="I49" i="1"/>
  <c r="J49" i="1" s="1"/>
  <c r="I53" i="1"/>
  <c r="I59" i="1"/>
  <c r="I73" i="1"/>
  <c r="J73" i="1" s="1"/>
  <c r="I84" i="1"/>
  <c r="J84" i="1" s="1"/>
  <c r="I85" i="1"/>
  <c r="J85" i="1" s="1"/>
  <c r="I86" i="1"/>
  <c r="J86" i="1" s="1"/>
  <c r="I87" i="1"/>
  <c r="J87" i="1" s="1"/>
  <c r="I89" i="1"/>
  <c r="J89" i="1" s="1"/>
  <c r="I90" i="1"/>
  <c r="I101" i="1"/>
  <c r="I102" i="1"/>
  <c r="J102" i="1" s="1"/>
  <c r="I105" i="1"/>
  <c r="J105" i="1" s="1"/>
  <c r="I106" i="1"/>
  <c r="J106" i="1" s="1"/>
  <c r="I111" i="1"/>
  <c r="J111" i="1" s="1"/>
  <c r="I112" i="1"/>
  <c r="J112" i="1" s="1"/>
  <c r="I114" i="1"/>
  <c r="J114" i="1" s="1"/>
  <c r="I116" i="1"/>
  <c r="I121" i="1"/>
  <c r="I122" i="1"/>
  <c r="J122" i="1" s="1"/>
  <c r="I124" i="1"/>
  <c r="J124" i="1" s="1"/>
  <c r="I125" i="1"/>
  <c r="J125" i="1" s="1"/>
  <c r="I126" i="1"/>
  <c r="J126" i="1" s="1"/>
  <c r="I127" i="1"/>
  <c r="J127" i="1" s="1"/>
  <c r="I129" i="1"/>
  <c r="J129" i="1" s="1"/>
  <c r="I130" i="1"/>
  <c r="I132" i="1"/>
  <c r="I134" i="1"/>
  <c r="J134" i="1" s="1"/>
  <c r="I137" i="1"/>
  <c r="J137" i="1" s="1"/>
  <c r="I142" i="1"/>
  <c r="J142" i="1" s="1"/>
  <c r="I147" i="1"/>
  <c r="J147" i="1" s="1"/>
  <c r="I148" i="1"/>
  <c r="J148" i="1" s="1"/>
  <c r="I149" i="1"/>
  <c r="J149" i="1" s="1"/>
  <c r="I150" i="1"/>
  <c r="I153" i="1"/>
  <c r="I154" i="1"/>
  <c r="J154" i="1" s="1"/>
  <c r="I155" i="1"/>
  <c r="J155" i="1" s="1"/>
  <c r="I157" i="1"/>
  <c r="J157" i="1" s="1"/>
  <c r="I161" i="1"/>
  <c r="J161" i="1" s="1"/>
  <c r="I162" i="1"/>
  <c r="J162" i="1" s="1"/>
  <c r="I164" i="1"/>
  <c r="J164" i="1" s="1"/>
  <c r="I165" i="1"/>
  <c r="I169" i="1"/>
  <c r="I172" i="1"/>
  <c r="J172" i="1" s="1"/>
  <c r="I175" i="1"/>
  <c r="J175" i="1" s="1"/>
  <c r="I184" i="1"/>
  <c r="J184" i="1" s="1"/>
  <c r="I186" i="1"/>
  <c r="J186" i="1" s="1"/>
  <c r="I188" i="1"/>
  <c r="J188" i="1" s="1"/>
  <c r="I189" i="1"/>
  <c r="J189" i="1" s="1"/>
  <c r="I220" i="1"/>
  <c r="I223" i="1"/>
  <c r="I224" i="1"/>
  <c r="J224" i="1" s="1"/>
  <c r="I226" i="1"/>
  <c r="J226" i="1" s="1"/>
  <c r="I228" i="1"/>
  <c r="J228" i="1" s="1"/>
  <c r="I231" i="1"/>
  <c r="J231" i="1" s="1"/>
  <c r="I232" i="1"/>
  <c r="J232" i="1" s="1"/>
  <c r="I234" i="1"/>
  <c r="J234" i="1" s="1"/>
  <c r="I236" i="1"/>
  <c r="I249" i="1"/>
  <c r="I250" i="1"/>
  <c r="J250" i="1" s="1"/>
  <c r="I251" i="1"/>
  <c r="J251" i="1" s="1"/>
  <c r="I252" i="1"/>
  <c r="J252" i="1" s="1"/>
  <c r="I254" i="1"/>
  <c r="J254" i="1" s="1"/>
  <c r="I255" i="1"/>
  <c r="J255" i="1" s="1"/>
  <c r="I256" i="1"/>
  <c r="J256" i="1" s="1"/>
  <c r="I257" i="1"/>
  <c r="I258" i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I266" i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I276" i="1"/>
  <c r="I277" i="1"/>
  <c r="J277" i="1" s="1"/>
  <c r="I278" i="1"/>
  <c r="J278" i="1" s="1"/>
  <c r="I279" i="1"/>
  <c r="J279" i="1" s="1"/>
  <c r="I280" i="1"/>
  <c r="J280" i="1" s="1"/>
  <c r="I281" i="1"/>
  <c r="J281" i="1" s="1"/>
  <c r="I287" i="1"/>
  <c r="J287" i="1" s="1"/>
  <c r="I288" i="1"/>
  <c r="I292" i="1"/>
  <c r="I298" i="1"/>
  <c r="J298" i="1" s="1"/>
  <c r="I301" i="1"/>
  <c r="J301" i="1" s="1"/>
  <c r="I302" i="1"/>
  <c r="J302" i="1" s="1"/>
  <c r="I303" i="1"/>
  <c r="J303" i="1" s="1"/>
  <c r="I305" i="1"/>
  <c r="J305" i="1" s="1"/>
  <c r="I306" i="1"/>
  <c r="J306" i="1" s="1"/>
  <c r="I307" i="1"/>
  <c r="I308" i="1"/>
  <c r="I309" i="1"/>
  <c r="J309" i="1" s="1"/>
  <c r="I311" i="1"/>
  <c r="J311" i="1" s="1"/>
  <c r="I313" i="1"/>
  <c r="J313" i="1" s="1"/>
  <c r="I314" i="1"/>
  <c r="J314" i="1" s="1"/>
  <c r="I315" i="1"/>
  <c r="J315" i="1" s="1"/>
  <c r="I316" i="1"/>
  <c r="J316" i="1" s="1"/>
  <c r="I317" i="1"/>
  <c r="I318" i="1"/>
  <c r="I319" i="1"/>
  <c r="J319" i="1" s="1"/>
  <c r="I320" i="1"/>
  <c r="J320" i="1" s="1"/>
  <c r="I321" i="1"/>
  <c r="J321" i="1" s="1"/>
  <c r="I331" i="1"/>
  <c r="J331" i="1" s="1"/>
  <c r="I332" i="1"/>
  <c r="J332" i="1" s="1"/>
  <c r="I333" i="1"/>
  <c r="J333" i="1" s="1"/>
  <c r="I334" i="1"/>
  <c r="I335" i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I351" i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I359" i="1"/>
  <c r="I360" i="1"/>
  <c r="J360" i="1" s="1"/>
  <c r="I362" i="1"/>
  <c r="J362" i="1" s="1"/>
  <c r="I363" i="1"/>
  <c r="J363" i="1" s="1"/>
  <c r="I365" i="1"/>
  <c r="J365" i="1" s="1"/>
  <c r="I368" i="1"/>
  <c r="J368" i="1" s="1"/>
  <c r="I370" i="1"/>
  <c r="J370" i="1" s="1"/>
  <c r="I371" i="1"/>
  <c r="I372" i="1"/>
  <c r="I275" i="1"/>
  <c r="J275" i="1" s="1"/>
  <c r="I198" i="1"/>
  <c r="J198" i="1" s="1"/>
  <c r="I168" i="1"/>
  <c r="J168" i="1" s="1"/>
  <c r="I88" i="1"/>
  <c r="J88" i="1" s="1"/>
  <c r="I94" i="1"/>
  <c r="J94" i="1" s="1"/>
  <c r="I191" i="1"/>
  <c r="J191" i="1" s="1"/>
  <c r="I200" i="1"/>
  <c r="I144" i="1"/>
  <c r="I141" i="1"/>
  <c r="J141" i="1" s="1"/>
  <c r="I143" i="1"/>
  <c r="J143" i="1" s="1"/>
  <c r="I221" i="1"/>
  <c r="J221" i="1" s="1"/>
  <c r="I135" i="1"/>
  <c r="J135" i="1" s="1"/>
  <c r="I136" i="1"/>
  <c r="J136" i="1" s="1"/>
  <c r="I177" i="1"/>
  <c r="J177" i="1" s="1"/>
  <c r="I185" i="1"/>
  <c r="I93" i="1"/>
  <c r="I7" i="1"/>
  <c r="J7" i="1" s="1"/>
  <c r="I97" i="1"/>
  <c r="J97" i="1" s="1"/>
  <c r="I96" i="1"/>
  <c r="J96" i="1" s="1"/>
  <c r="I103" i="1"/>
  <c r="J103" i="1" s="1"/>
  <c r="I104" i="1"/>
  <c r="J104" i="1" s="1"/>
  <c r="I99" i="1"/>
  <c r="J99" i="1" s="1"/>
  <c r="I110" i="1"/>
  <c r="I120" i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I68" i="1"/>
  <c r="I60" i="1"/>
  <c r="J60" i="1" s="1"/>
  <c r="I69" i="1"/>
  <c r="J69" i="1" s="1"/>
  <c r="I70" i="1"/>
  <c r="J70" i="1" s="1"/>
  <c r="I71" i="1"/>
  <c r="J71" i="1" s="1"/>
  <c r="I72" i="1"/>
  <c r="J72" i="1" s="1"/>
  <c r="I91" i="1"/>
  <c r="J91" i="1" s="1"/>
  <c r="I170" i="1"/>
  <c r="I212" i="1"/>
  <c r="I213" i="1"/>
  <c r="J213" i="1" s="1"/>
  <c r="I215" i="1"/>
  <c r="J215" i="1" s="1"/>
  <c r="I216" i="1"/>
  <c r="J216" i="1" s="1"/>
  <c r="I217" i="1"/>
  <c r="J217" i="1" s="1"/>
  <c r="I218" i="1"/>
  <c r="J218" i="1" s="1"/>
  <c r="I219" i="1"/>
  <c r="J219" i="1" s="1"/>
  <c r="I203" i="1"/>
  <c r="I209" i="1"/>
  <c r="I79" i="1"/>
  <c r="J79" i="1" s="1"/>
  <c r="I74" i="1"/>
  <c r="J74" i="1" s="1"/>
  <c r="I77" i="1"/>
  <c r="J77" i="1" s="1"/>
  <c r="I75" i="1"/>
  <c r="J75" i="1" s="1"/>
  <c r="I2" i="1"/>
  <c r="J2" i="1" s="1"/>
  <c r="I3" i="1"/>
  <c r="J3" i="1" s="1"/>
  <c r="I4" i="1"/>
  <c r="I5" i="1"/>
  <c r="I210" i="1"/>
  <c r="J210" i="1" s="1"/>
  <c r="I197" i="1"/>
  <c r="J197" i="1" s="1"/>
  <c r="I211" i="1"/>
  <c r="J211" i="1" s="1"/>
  <c r="I194" i="1"/>
  <c r="J194" i="1" s="1"/>
  <c r="I195" i="1"/>
  <c r="J195" i="1" s="1"/>
  <c r="I196" i="1"/>
  <c r="J196" i="1" s="1"/>
  <c r="I199" i="1"/>
  <c r="I160" i="1"/>
  <c r="I193" i="1"/>
  <c r="J193" i="1" s="1"/>
  <c r="I190" i="1"/>
  <c r="J190" i="1" s="1"/>
  <c r="I6" i="1"/>
  <c r="J6" i="1" s="1"/>
  <c r="I98" i="1"/>
  <c r="J98" i="1" s="1"/>
  <c r="I107" i="1"/>
  <c r="J107" i="1" s="1"/>
  <c r="I233" i="1"/>
  <c r="J233" i="1" s="1"/>
  <c r="I299" i="1"/>
  <c r="I274" i="1"/>
  <c r="I296" i="1"/>
  <c r="J296" i="1" s="1"/>
  <c r="I123" i="1"/>
  <c r="J123" i="1" s="1"/>
  <c r="I128" i="1"/>
  <c r="J128" i="1" s="1"/>
  <c r="I207" i="1"/>
  <c r="J207" i="1" s="1"/>
  <c r="I208" i="1"/>
  <c r="J208" i="1" s="1"/>
  <c r="I230" i="1"/>
  <c r="J230" i="1" s="1"/>
  <c r="I214" i="1"/>
  <c r="I201" i="1"/>
  <c r="I202" i="1"/>
  <c r="J202" i="1" s="1"/>
  <c r="I176" i="1"/>
  <c r="J176" i="1" s="1"/>
  <c r="I297" i="1"/>
  <c r="J297" i="1" s="1"/>
  <c r="I361" i="1"/>
  <c r="J361" i="1" s="1"/>
  <c r="I80" i="1"/>
  <c r="J80" i="1" s="1"/>
  <c r="I327" i="1"/>
  <c r="J327" i="1" s="1"/>
  <c r="I328" i="1"/>
  <c r="I329" i="1"/>
  <c r="I10" i="1"/>
  <c r="J10" i="1" s="1"/>
  <c r="I28" i="1"/>
  <c r="J28" i="1" s="1"/>
  <c r="I36" i="1"/>
  <c r="J36" i="1" s="1"/>
  <c r="I37" i="1"/>
  <c r="J37" i="1" s="1"/>
  <c r="I38" i="1"/>
  <c r="J38" i="1" s="1"/>
  <c r="I39" i="1"/>
  <c r="J39" i="1" s="1"/>
  <c r="I40" i="1"/>
  <c r="I35" i="1"/>
  <c r="I364" i="1"/>
  <c r="J364" i="1" s="1"/>
  <c r="I366" i="1"/>
  <c r="J366" i="1" s="1"/>
  <c r="I367" i="1"/>
  <c r="J367" i="1" s="1"/>
  <c r="I369" i="1"/>
  <c r="J369" i="1" s="1"/>
  <c r="I205" i="1"/>
  <c r="J205" i="1" s="1"/>
  <c r="I206" i="1"/>
  <c r="J206" i="1" s="1"/>
  <c r="I117" i="1"/>
  <c r="I133" i="1"/>
  <c r="I229" i="1"/>
  <c r="J229" i="1" s="1"/>
  <c r="I253" i="1"/>
  <c r="J253" i="1" s="1"/>
  <c r="I295" i="1"/>
  <c r="J295" i="1" s="1"/>
  <c r="I131" i="1"/>
  <c r="J131" i="1" s="1"/>
  <c r="I225" i="1"/>
  <c r="J225" i="1" s="1"/>
  <c r="I237" i="1"/>
  <c r="J237" i="1" s="1"/>
  <c r="I244" i="1"/>
  <c r="I293" i="1"/>
  <c r="I171" i="1"/>
  <c r="J171" i="1" s="1"/>
  <c r="I174" i="1"/>
  <c r="J174" i="1" s="1"/>
  <c r="I192" i="1"/>
  <c r="J192" i="1" s="1"/>
  <c r="I180" i="1"/>
  <c r="J180" i="1" s="1"/>
  <c r="I325" i="1"/>
  <c r="J325" i="1" s="1"/>
  <c r="I243" i="1"/>
  <c r="J243" i="1" s="1"/>
  <c r="I238" i="1"/>
  <c r="I242" i="1"/>
  <c r="I245" i="1"/>
  <c r="J245" i="1" s="1"/>
  <c r="I163" i="1"/>
  <c r="J163" i="1" s="1"/>
  <c r="I173" i="1"/>
  <c r="J173" i="1" s="1"/>
  <c r="I178" i="1"/>
  <c r="J178" i="1" s="1"/>
  <c r="I32" i="1"/>
  <c r="J32" i="1" s="1"/>
  <c r="I152" i="1"/>
  <c r="J152" i="1" s="1"/>
  <c r="I139" i="1"/>
  <c r="I140" i="1"/>
  <c r="I151" i="1"/>
  <c r="J151" i="1" s="1"/>
  <c r="I138" i="1"/>
  <c r="J138" i="1" s="1"/>
  <c r="I239" i="1"/>
  <c r="J239" i="1" s="1"/>
  <c r="I240" i="1"/>
  <c r="J240" i="1" s="1"/>
  <c r="I282" i="1"/>
  <c r="J282" i="1" s="1"/>
  <c r="I247" i="1"/>
  <c r="J247" i="1" s="1"/>
  <c r="I283" i="1"/>
  <c r="I284" i="1"/>
  <c r="I289" i="1"/>
  <c r="J289" i="1" s="1"/>
  <c r="I290" i="1"/>
  <c r="J290" i="1" s="1"/>
  <c r="I291" i="1"/>
  <c r="J291" i="1" s="1"/>
  <c r="I108" i="1"/>
  <c r="J108" i="1" s="1"/>
  <c r="I109" i="1"/>
  <c r="J109" i="1" s="1"/>
  <c r="I113" i="1"/>
  <c r="J113" i="1" s="1"/>
  <c r="I118" i="1"/>
  <c r="I119" i="1"/>
  <c r="I166" i="1"/>
  <c r="J166" i="1" s="1"/>
  <c r="I167" i="1"/>
  <c r="J167" i="1" s="1"/>
  <c r="I182" i="1"/>
  <c r="J182" i="1" s="1"/>
  <c r="I241" i="1"/>
  <c r="J241" i="1" s="1"/>
  <c r="I16" i="1"/>
  <c r="J16" i="1" s="1"/>
  <c r="I95" i="1"/>
  <c r="J95" i="1" s="1"/>
  <c r="I92" i="1"/>
  <c r="I310" i="1"/>
  <c r="I312" i="1"/>
  <c r="J312" i="1" s="1"/>
  <c r="I83" i="1"/>
  <c r="J83" i="1" s="1"/>
  <c r="I227" i="1"/>
  <c r="J227" i="1" s="1"/>
  <c r="I322" i="1"/>
  <c r="J322" i="1" s="1"/>
  <c r="I323" i="1"/>
  <c r="J323" i="1" s="1"/>
  <c r="I330" i="1"/>
  <c r="J330" i="1" s="1"/>
  <c r="I204" i="1"/>
  <c r="I286" i="1"/>
  <c r="I235" i="1"/>
  <c r="J235" i="1" s="1"/>
  <c r="I246" i="1"/>
  <c r="J246" i="1" s="1"/>
  <c r="I285" i="1"/>
  <c r="J285" i="1" s="1"/>
  <c r="I115" i="1"/>
  <c r="J115" i="1" s="1"/>
  <c r="I187" i="1"/>
  <c r="J187" i="1" s="1"/>
  <c r="I181" i="1"/>
  <c r="J181" i="1" s="1"/>
  <c r="I222" i="1"/>
  <c r="I46" i="1"/>
  <c r="I100" i="1"/>
  <c r="J100" i="1" s="1"/>
  <c r="I179" i="1"/>
  <c r="J179" i="1" s="1"/>
  <c r="I156" i="1"/>
  <c r="J156" i="1" s="1"/>
  <c r="I81" i="1"/>
  <c r="J81" i="1" s="1"/>
  <c r="I82" i="1"/>
  <c r="J82" i="1" s="1"/>
  <c r="I30" i="1"/>
  <c r="J30" i="1" s="1"/>
  <c r="I324" i="1"/>
  <c r="I33" i="1"/>
  <c r="I300" i="1"/>
  <c r="J300" i="1" s="1"/>
  <c r="I159" i="1"/>
  <c r="J159" i="1" s="1"/>
  <c r="I326" i="1"/>
  <c r="J326" i="1" s="1"/>
  <c r="I76" i="1"/>
  <c r="J76" i="1" s="1"/>
  <c r="I158" i="1"/>
  <c r="J158" i="1" s="1"/>
  <c r="I51" i="1"/>
  <c r="J51" i="1" s="1"/>
  <c r="I48" i="1"/>
  <c r="I43" i="1"/>
  <c r="I42" i="1"/>
  <c r="J42" i="1" s="1"/>
  <c r="I44" i="1"/>
  <c r="J44" i="1" s="1"/>
  <c r="I145" i="1"/>
  <c r="J145" i="1" s="1"/>
  <c r="I146" i="1"/>
  <c r="J146" i="1" s="1"/>
  <c r="I183" i="1"/>
  <c r="J183" i="1" s="1"/>
  <c r="I304" i="1"/>
  <c r="J304" i="1" s="1"/>
  <c r="I294" i="1"/>
  <c r="I78" i="1"/>
  <c r="I41" i="1"/>
  <c r="J41" i="1" s="1"/>
  <c r="I55" i="1"/>
  <c r="J55" i="1" s="1"/>
  <c r="I56" i="1"/>
  <c r="J56" i="1" s="1"/>
  <c r="I57" i="1"/>
  <c r="J57" i="1" s="1"/>
  <c r="I58" i="1"/>
  <c r="J58" i="1" s="1"/>
  <c r="I54" i="1"/>
  <c r="J54" i="1" s="1"/>
  <c r="I248" i="1"/>
  <c r="I15" i="1"/>
  <c r="I52" i="1"/>
  <c r="J52" i="1" s="1"/>
  <c r="I50" i="1"/>
  <c r="J50" i="1" s="1"/>
  <c r="I8" i="1"/>
  <c r="J8" i="1"/>
</calcChain>
</file>

<file path=xl/sharedStrings.xml><?xml version="1.0" encoding="utf-8"?>
<sst xmlns="http://schemas.openxmlformats.org/spreadsheetml/2006/main" count="1217" uniqueCount="497">
  <si>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</si>
  <si>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</si>
  <si>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</si>
  <si>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</si>
  <si>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</si>
  <si>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</si>
  <si>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</si>
  <si>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</si>
  <si>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</si>
  <si>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</si>
  <si>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</si>
  <si>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</si>
  <si>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</si>
  <si>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</si>
  <si>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</si>
  <si>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</si>
  <si>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</si>
  <si>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</si>
  <si>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</si>
  <si>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</si>
  <si>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</si>
  <si>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</si>
  <si>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</si>
  <si>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</si>
  <si>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</si>
  <si>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</si>
  <si>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</si>
  <si>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</si>
  <si>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</si>
  <si>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</si>
  <si>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</si>
  <si>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</si>
  <si>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</si>
  <si>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</si>
  <si>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</si>
  <si>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</si>
  <si>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</si>
  <si>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</si>
  <si>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</si>
  <si>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</si>
  <si>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</si>
  <si>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</si>
  <si>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</si>
  <si>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</si>
  <si>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</si>
  <si>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</si>
  <si>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</si>
  <si>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</si>
  <si>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</si>
  <si>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</si>
  <si>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</si>
  <si>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</si>
  <si>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</si>
  <si>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</si>
  <si>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</si>
  <si>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</si>
  <si>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</si>
  <si>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</si>
  <si>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</si>
  <si>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</si>
  <si>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</si>
  <si>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</si>
  <si>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</si>
  <si>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</si>
  <si>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</si>
  <si>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</si>
  <si>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</si>
  <si>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</si>
  <si>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</si>
  <si>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</si>
  <si>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</si>
  <si>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</si>
  <si>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</si>
  <si>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</si>
  <si>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</si>
  <si>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</si>
  <si>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</si>
  <si>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</si>
  <si>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</si>
  <si>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</si>
  <si>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</si>
  <si>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</si>
  <si>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</si>
  <si>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</si>
  <si>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</si>
  <si>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</si>
  <si>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</si>
  <si>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</si>
  <si>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</si>
  <si>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</si>
  <si>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</si>
  <si>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</si>
  <si>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</si>
  <si>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</si>
  <si>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</si>
  <si>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</si>
  <si>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</si>
  <si>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</si>
  <si>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</si>
  <si>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</si>
  <si>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</si>
  <si>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</si>
  <si>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</si>
  <si>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</si>
  <si>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</si>
  <si>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</si>
  <si>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</si>
  <si>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</si>
  <si>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</si>
  <si>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</si>
  <si>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</si>
  <si>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</si>
  <si>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</si>
  <si>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</si>
  <si>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</si>
  <si>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</si>
  <si>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</si>
  <si>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</si>
  <si>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</si>
  <si>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</si>
  <si>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</si>
  <si>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</si>
  <si>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</si>
  <si>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</si>
  <si>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</si>
  <si>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</si>
  <si>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</si>
  <si>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</si>
  <si>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</si>
  <si>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</si>
  <si>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</si>
  <si>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</si>
  <si>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</si>
  <si>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</si>
  <si>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</si>
  <si>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</si>
  <si>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</si>
  <si>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</si>
  <si>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</si>
  <si>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</si>
  <si>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</si>
  <si>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</si>
  <si>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</si>
  <si>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</si>
  <si>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</si>
  <si>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</si>
  <si>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</si>
  <si>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</si>
  <si>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</si>
  <si>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</si>
  <si>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</si>
  <si>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</si>
  <si>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</si>
  <si>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</si>
  <si>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</si>
  <si>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</si>
  <si>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</si>
  <si>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</si>
  <si>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</si>
  <si>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</si>
  <si>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</si>
  <si>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</si>
  <si>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</si>
  <si>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</si>
  <si>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</si>
  <si>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</si>
  <si>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</si>
  <si>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</si>
  <si>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</si>
  <si>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</si>
  <si>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</si>
  <si>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</si>
  <si>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</si>
  <si>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</si>
  <si>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</si>
  <si>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</si>
  <si>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</si>
  <si>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</si>
  <si>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</si>
  <si>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</si>
  <si>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</si>
  <si>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</si>
  <si>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</si>
  <si>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</si>
  <si>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</si>
  <si>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</si>
  <si>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</si>
  <si>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</si>
  <si>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</si>
  <si>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</si>
  <si>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</si>
  <si>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</si>
  <si>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</si>
  <si>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</si>
  <si>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</si>
  <si>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</si>
  <si>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</si>
  <si>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</si>
  <si>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</si>
  <si>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</si>
  <si>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</si>
  <si>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</si>
  <si>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</si>
  <si>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</si>
  <si>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</si>
  <si>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</si>
  <si>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</si>
  <si>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</si>
  <si>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</si>
  <si>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</si>
  <si>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</si>
  <si>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</si>
  <si>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</si>
  <si>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</si>
  <si>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</si>
  <si>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</si>
  <si>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</si>
  <si>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</si>
  <si>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</si>
  <si>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</si>
  <si>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</si>
  <si>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</si>
  <si>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</si>
  <si>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</si>
  <si>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</si>
  <si>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</si>
  <si>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</si>
  <si>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</si>
  <si>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</si>
  <si>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</si>
  <si>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</si>
  <si>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</si>
  <si>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</si>
  <si>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</si>
  <si>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</si>
  <si>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</si>
  <si>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</si>
  <si>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</si>
  <si>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</si>
  <si>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</si>
  <si>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</si>
  <si>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</si>
  <si>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</si>
  <si>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</si>
  <si>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</si>
  <si>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</si>
  <si>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</si>
  <si>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</si>
  <si>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</si>
  <si>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</si>
  <si>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</si>
  <si>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</si>
  <si>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</si>
  <si>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</si>
  <si>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</si>
  <si>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</si>
  <si>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</si>
  <si>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</si>
  <si>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</si>
  <si>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</si>
  <si>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</si>
  <si>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</si>
  <si>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</si>
  <si>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</si>
  <si>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</si>
  <si>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</si>
  <si>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</si>
  <si>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</si>
  <si>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</si>
  <si>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</si>
  <si>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</si>
  <si>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</si>
  <si>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</si>
  <si>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</si>
  <si>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</si>
  <si>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</si>
  <si>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</si>
  <si>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</si>
  <si>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</si>
  <si>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</si>
  <si>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</si>
  <si>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</si>
  <si>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</si>
  <si>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</si>
  <si>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</si>
  <si>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</si>
  <si>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</si>
  <si>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</si>
  <si>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</si>
  <si>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</si>
  <si>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</si>
  <si>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</si>
  <si>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</si>
  <si>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</si>
  <si>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</si>
  <si>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</si>
  <si>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</si>
  <si>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</si>
  <si>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</si>
  <si>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</si>
  <si>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</si>
  <si>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</si>
  <si>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</si>
  <si>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</si>
  <si>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</si>
  <si>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</si>
  <si>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</si>
  <si>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</si>
  <si>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</si>
  <si>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</si>
  <si>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</si>
  <si>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</si>
  <si>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</si>
  <si>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</si>
  <si>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</si>
  <si>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</si>
  <si>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</si>
  <si>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</si>
  <si>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</si>
  <si>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</si>
  <si>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</si>
  <si>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</si>
  <si>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</si>
  <si>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</si>
  <si>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</si>
  <si>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</si>
  <si>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</si>
  <si>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</si>
  <si>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</si>
  <si>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</si>
  <si>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</si>
  <si>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</si>
  <si>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</si>
  <si>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</si>
  <si>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</si>
  <si>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</si>
  <si>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</si>
  <si>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</si>
  <si>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</si>
  <si>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</si>
  <si>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</si>
  <si>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</si>
  <si>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</si>
  <si>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</si>
  <si>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</si>
  <si>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</si>
  <si>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</si>
  <si>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</si>
  <si>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</si>
  <si>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</si>
  <si>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</si>
  <si>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</si>
  <si>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</si>
  <si>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</si>
  <si>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</si>
  <si>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</si>
  <si>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</si>
  <si>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</si>
  <si>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</si>
  <si>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</si>
  <si>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</si>
  <si>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</si>
  <si>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</si>
  <si>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</si>
  <si>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</si>
  <si>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</si>
  <si>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</si>
  <si>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</si>
  <si>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</si>
  <si>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</si>
  <si>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</si>
  <si>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</si>
  <si>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</si>
  <si>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</si>
  <si>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</si>
  <si>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</si>
  <si>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</si>
  <si>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</si>
  <si>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</si>
  <si>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</si>
  <si>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</si>
  <si>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</si>
  <si>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</si>
  <si>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</si>
  <si>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</si>
  <si>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</si>
  <si>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</si>
  <si>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</si>
  <si>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</si>
  <si>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</si>
  <si>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</si>
  <si>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</si>
  <si>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</si>
  <si>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</si>
  <si>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</si>
  <si>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</si>
  <si>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</si>
  <si>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</si>
  <si>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</si>
  <si>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</si>
  <si>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</si>
  <si>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</si>
  <si>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</si>
  <si>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</si>
  <si>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 xml:space="preserve">BON. MORTADELA PRIMAVERA EN BARRA DE 3.8                    </t>
  </si>
  <si>
    <t xml:space="preserve">BON. HAMB. SACHET 83 DELIBURGUER SOFIA                      </t>
  </si>
  <si>
    <t xml:space="preserve">MORTADELA BONISSIMA CON TOCINO EN BARRA                                         </t>
  </si>
  <si>
    <t xml:space="preserve">MORTADELA BONISSIMA 500 GRS                                                     </t>
  </si>
  <si>
    <t xml:space="preserve">MORTADELA PRIMAVERA EN BARRA DE 500 GRS                                         </t>
  </si>
  <si>
    <t xml:space="preserve">P.U MORTADELA JAMONADA VACIO 200 GRS.                                           </t>
  </si>
  <si>
    <t xml:space="preserve">P.U MORTADELA PRIMAVERA VACIO 200 GRS                                           </t>
  </si>
  <si>
    <t xml:space="preserve">JAMON DE PAVO EN BARRA 4KG                                                      </t>
  </si>
  <si>
    <t xml:space="preserve">P.U. JAMON SANDWICHERO VACIO 220 GRS                                            </t>
  </si>
  <si>
    <t xml:space="preserve">CHORIZO TIPO ARGENTINO A GRANEL                                                 </t>
  </si>
  <si>
    <t xml:space="preserve">MORCILLA A GRANEL                                                               </t>
  </si>
  <si>
    <t xml:space="preserve">CHORIZO CHUQUISAQUEÑO A GRANEL                                                  </t>
  </si>
  <si>
    <t xml:space="preserve">BON. SALCHICHA VIENA A GRANEL DE PELAR                                          </t>
  </si>
  <si>
    <t xml:space="preserve">SALCHICHA VIENA A GRANEL DE PELAR                                               </t>
  </si>
  <si>
    <t xml:space="preserve">SALCHICHA TIPO BERLINESA BONISSIMA A GRANEL                                     </t>
  </si>
  <si>
    <t xml:space="preserve">MINI SALCHICHA DE POLLO AL VACIO (10 UND)                                       </t>
  </si>
  <si>
    <t xml:space="preserve">P.U SALCHICHA FRANKFURT EXTRA LARGA VACIO (12 UND)                              </t>
  </si>
  <si>
    <t xml:space="preserve">SALCHICHA HADOQUERA AHUMADA AL VACIO 10 UNID                                    </t>
  </si>
  <si>
    <t xml:space="preserve">SALCHICHA BONISSIMA TIPO BRASILERA 3 KG                                         </t>
  </si>
  <si>
    <t xml:space="preserve">BON. SALCHICHA VIENA A GRANEL                                                   </t>
  </si>
  <si>
    <t xml:space="preserve">CHORIZO CHURRASQUERO AL VACIO DE 1 KG                                           </t>
  </si>
  <si>
    <t xml:space="preserve">CHORIZO DE RES AL VACIO DE 1 KG                                                 </t>
  </si>
  <si>
    <t xml:space="preserve">CHORIZO CHURRASQUERO PICANTE AL VACIO DE 1 KG                                   </t>
  </si>
  <si>
    <t xml:space="preserve">SALCHICHA VIENA A GRANEL                                                        </t>
  </si>
  <si>
    <t xml:space="preserve">P.U. TUBO HAMB. 113 GRILL SOFIA 12X113 GRS                                      </t>
  </si>
  <si>
    <t xml:space="preserve">ALBONDIGAS EN BOLSA 15 UND                                                      </t>
  </si>
  <si>
    <t xml:space="preserve">PATE DE HIGADO DE POLLO DE 100 GRS.                                             </t>
  </si>
  <si>
    <t xml:space="preserve">PATE DE HIGADO DE POLLO 240 GRS                                                 </t>
  </si>
  <si>
    <t xml:space="preserve">PATE DE HIGADO DE CERDO 240 GRS                                                 </t>
  </si>
  <si>
    <t xml:space="preserve">P.U. SACHET HAMB. 113 RES GRILL SOFIA 2X113 GRS.                                </t>
  </si>
  <si>
    <t xml:space="preserve">P.U. TUBO HAMB.56 POLLO EXPRESS SOFIA 53X12 GRS                                 </t>
  </si>
  <si>
    <t xml:space="preserve">P.U. TUBO HAMB. 83 POLLO CLASICA SOFIA 83X12 GRS                                </t>
  </si>
  <si>
    <t xml:space="preserve">P.U. TUBO HAMB. 56 RESEXPRESS SOFIA 12X56GRS                                    </t>
  </si>
  <si>
    <t xml:space="preserve">P.U. SACHET HAMB. 83 POLLO CLASICA SOFIA 2X83 GRS.                              </t>
  </si>
  <si>
    <t xml:space="preserve">P.U. SACHET HAMB. 56 POLLO EXPRESS SOFIA 3X56 GRS.                              </t>
  </si>
  <si>
    <t xml:space="preserve">P.U. SACHET HAMB 56 EXPRESS SOFIA 3X56                                          </t>
  </si>
  <si>
    <t xml:space="preserve">P.U. MILANESA DE POLLO 500 GRS. EN CAJA                                         </t>
  </si>
  <si>
    <t xml:space="preserve">PU. POLLO RELLENO EN CAJA                                                       </t>
  </si>
  <si>
    <t xml:space="preserve">P.U. MILANESA AMERICANA DE POLLO 500 GRS. EN CAJA                               </t>
  </si>
  <si>
    <t xml:space="preserve">P.U. MORTADELA FAMILIAR VACIO 200 GRS                                           </t>
  </si>
  <si>
    <t xml:space="preserve">JAMON FAMILIAR EN BARRA                                                         </t>
  </si>
  <si>
    <t xml:space="preserve">P.U. TUBO HAMB 83 RES CLASICA SOFIA 12X83 GRS                                   </t>
  </si>
  <si>
    <t xml:space="preserve">P.U. HAMB. 20 UNI  TUBO 56 POLLO EXPRESS SOFIA 20X56GRS                         </t>
  </si>
  <si>
    <t xml:space="preserve">NUGGETS PATITAS EN BOLSA DE 30 UNID                                             </t>
  </si>
  <si>
    <t xml:space="preserve">P.U. 2,5 KG PAPAS 9X9MM TRADICIONAL                                             </t>
  </si>
  <si>
    <t xml:space="preserve">TOCINO DE CERDO AHUMADO AL VACIO DE 150 GRS                                     </t>
  </si>
  <si>
    <t xml:space="preserve">TOCINETA DE CERDO AL VACIO 150GRS                                               </t>
  </si>
  <si>
    <t xml:space="preserve">TOCINETA DE CERDO AL VACIO DE 500 GRS                                           </t>
  </si>
  <si>
    <t xml:space="preserve">MORTADELA DE GALLINA EN BARRA DE 3.8 KG                                         </t>
  </si>
  <si>
    <t xml:space="preserve">MORTADELA BONISSIMA EN BARRA                                                    </t>
  </si>
  <si>
    <t xml:space="preserve">NUGGETS DINO EN BOLSA 12 UNID                                                   </t>
  </si>
  <si>
    <t xml:space="preserve">BON. P.U. SACHET HAMB. CARRITO                                                  </t>
  </si>
  <si>
    <t xml:space="preserve">MINI SALCHICHA SABOR RES AL VACIO (10 UNID)                                     </t>
  </si>
  <si>
    <t xml:space="preserve">MINI SALCHICHA SABOR RES AL VACIO (20 UND)                                      </t>
  </si>
  <si>
    <t xml:space="preserve">HAMB CARRITO DE RES SOFIA 83X2 SACHET                                           </t>
  </si>
  <si>
    <t xml:space="preserve">P.U. TUBO HAMB. 20X56G EXPRESS SOFIA                                            </t>
  </si>
  <si>
    <t xml:space="preserve">P.U. SACHET HAMB. 50 GUESA SOFIA 3X50GRS                                        </t>
  </si>
  <si>
    <t xml:space="preserve">SILPANCHO DE POLLO EN BOLSA 5 UNID                                              </t>
  </si>
  <si>
    <t xml:space="preserve">SILPANCHO DE RES EN BOLSA 5 UNID                                                </t>
  </si>
  <si>
    <t xml:space="preserve">BON. HAMB. SACHET 83 DELIBURGUER SOFIA                                          </t>
  </si>
  <si>
    <t xml:space="preserve">CHORIZO PARRILLERO A GRANEL                                                     </t>
  </si>
  <si>
    <t xml:space="preserve">CHORIZO DE RES A GRANEL                                                         </t>
  </si>
  <si>
    <t xml:space="preserve">CHORIZO CHURRASQUERO                                                            </t>
  </si>
  <si>
    <t xml:space="preserve">P.U. SACHET HAMB. 83 DELIBURGUER SOFIA 2X83GRS                                  </t>
  </si>
  <si>
    <t xml:space="preserve">ALBONDIGAS DE POLLO EN BOLSA DE 15 UNID                                         </t>
  </si>
  <si>
    <t xml:space="preserve">FINGERS SABOR CREMA Y CEBOLLA 500 GRS                                           </t>
  </si>
  <si>
    <t xml:space="preserve">FINGERS SABOR MANTEQUILLA 500GRS                                                </t>
  </si>
  <si>
    <t xml:space="preserve">NUGGETS DINO EN BOLSA 30 UNI                                                    </t>
  </si>
  <si>
    <t xml:space="preserve">P.U. MILANESA CASERA DE RES 500 GRS. EN CAJA                                    </t>
  </si>
  <si>
    <t xml:space="preserve">P.U. MILANESA CORDON BLEU 600 GRS. EN CAJA                                      </t>
  </si>
  <si>
    <t xml:space="preserve">P.U. SACHET MILANESA AMERICANA DE POLLO 2X125 GRS.                              </t>
  </si>
  <si>
    <t xml:space="preserve">CHICHARRON DE POLLO 1KG                                                         </t>
  </si>
  <si>
    <t xml:space="preserve">CHICHARRON DE CERDO 1 KG                                                        </t>
  </si>
  <si>
    <t xml:space="preserve">TENDERS DE POLLO 500 GRS                                                        </t>
  </si>
  <si>
    <t xml:space="preserve">P.U. MILANESA EXPRESS DE POLLO EN CAJA                                          </t>
  </si>
  <si>
    <t xml:space="preserve">CERDO AGRIDULCE 500 GRS                                                         </t>
  </si>
  <si>
    <t xml:space="preserve">TENDERS DE POLLO DE 1 KG                                                        </t>
  </si>
  <si>
    <t xml:space="preserve">NUGGETS PATITAS EN BOLSA 12 UNID                                                </t>
  </si>
  <si>
    <t xml:space="preserve">ALA DE POLLO PREMIUN A GRANEL CONGELADA                                         </t>
  </si>
  <si>
    <t xml:space="preserve">PORK BELLY DE CERDO CONGELADO EN BANDEJA AS                                     </t>
  </si>
  <si>
    <t xml:space="preserve">CHULETA DE BONDIOLA DE CERDO CONGELADA EN BANDEJA                               </t>
  </si>
  <si>
    <t xml:space="preserve">CARNE MOLIDA DE CERDO                                                           </t>
  </si>
  <si>
    <t xml:space="preserve">CARNE MOLIDA DE POLLO                                                           </t>
  </si>
  <si>
    <t xml:space="preserve">POLLO ASADO EN TIRAS (CHICKEN STRIPS) EN CAJA 6 KG                              </t>
  </si>
  <si>
    <t xml:space="preserve">BIFE DE CERDO CONGELADO EN BANDEJA                                              </t>
  </si>
  <si>
    <t xml:space="preserve">CHULETA DE CERDO CONGELADO EN BANDEJA                                           </t>
  </si>
  <si>
    <t xml:space="preserve">P.U. QUESO CRIOLLO AL VACIO 200 GRS                                             </t>
  </si>
  <si>
    <t xml:space="preserve">TOCINETA DE CERDO A GRANEL                                                      </t>
  </si>
  <si>
    <t xml:space="preserve">CHORIZO PARRILLERO AL VACIO DE 1 KG                                             </t>
  </si>
  <si>
    <t>codigo</t>
  </si>
  <si>
    <t>producto</t>
  </si>
  <si>
    <t>cantidad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</si>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</sst>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2"/>
  <sheetViews>
    <sheetView tabSelected="1" workbookViewId="0">
      <selection activeCell="H2" sqref="H2:H372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100001</v>
      </c>
      <c r="B2" s="6" t="s">
        <v>254</v>
      </c>
      <c r="C2" s="7">
        <v>-719</v>
      </c>
      <c r="D2" s="7">
        <v>258.90300000000002</v>
      </c>
      <c r="E2" s="8">
        <v>46291.376168981478</v>
      </c>
      <c r="F2" s="9">
        <v>46291</v>
      </c>
      <c r="G2" s="6" t="s">
        <v>38</v>
      </c>
      <c r="H2" s="6" t="s">
        <v>496</v>
      </c>
      <c r="I2" s="6" t="str">
        <f>IFERROR(VLOOKUP(A2,Hoja2!A:C,3,FALSE),"0")</f>
        <v>0</v>
      </c>
      <c r="J2" s="13">
        <f>+D2-I2</f>
        <v>258.90300000000002</v>
      </c>
    </row>
    <row r="3" spans="1:10" x14ac:dyDescent="0.25">
      <c r="A3" s="10">
        <v>100002</v>
      </c>
      <c r="B3" s="6" t="s">
        <v>255</v>
      </c>
      <c r="C3" s="7">
        <v>-763</v>
      </c>
      <c r="D3" s="7">
        <v>12.1</v>
      </c>
      <c r="E3" s="8">
        <v>46291.376168981478</v>
      </c>
      <c r="F3" s="9">
        <v>46291</v>
      </c>
      <c r="G3" s="6" t="s">
        <v>38</v>
      </c>
      <c r="H3" s="12" t="s">
        <v>496</v>
      </c>
      <c r="I3" s="12" t="str">
        <f>IFERROR(VLOOKUP(A3,Hoja2!A:C,3,FALSE),"0")</f>
        <v>0</v>
      </c>
      <c r="J3" s="13">
        <f>+D3-I3</f>
        <v>12.1</v>
      </c>
    </row>
    <row r="4" spans="1:10" x14ac:dyDescent="0.25">
      <c r="A4" s="10">
        <v>100003</v>
      </c>
      <c r="B4" s="6" t="s">
        <v>256</v>
      </c>
      <c r="C4" s="7">
        <v>-746</v>
      </c>
      <c r="D4" s="7">
        <v>158.1</v>
      </c>
      <c r="E4" s="8">
        <v>46291.376168981478</v>
      </c>
      <c r="F4" s="9">
        <v>46291</v>
      </c>
      <c r="G4" s="6" t="s">
        <v>38</v>
      </c>
      <c r="H4" s="12" t="s">
        <v>496</v>
      </c>
      <c r="I4" s="12" t="str">
        <f>IFERROR(VLOOKUP(A4,Hoja2!A:C,3,FALSE),"0")</f>
        <v>0</v>
      </c>
      <c r="J4" s="13">
        <f>+D4-I4</f>
        <v>158.1</v>
      </c>
    </row>
    <row r="5" spans="1:10" x14ac:dyDescent="0.25">
      <c r="A5" s="10">
        <v>100004</v>
      </c>
      <c r="B5" s="6" t="s">
        <v>257</v>
      </c>
      <c r="C5" s="7">
        <v>-378</v>
      </c>
      <c r="D5" s="7">
        <v>6.8</v>
      </c>
      <c r="E5" s="8">
        <v>46291.376168981478</v>
      </c>
      <c r="F5" s="9">
        <v>46291</v>
      </c>
      <c r="G5" s="6" t="s">
        <v>38</v>
      </c>
      <c r="H5" s="12" t="s">
        <v>496</v>
      </c>
      <c r="I5" s="12" t="str">
        <f>IFERROR(VLOOKUP(A5,Hoja2!A:C,3,FALSE),"0")</f>
        <v>0</v>
      </c>
      <c r="J5" s="13">
        <f>+D5-I5</f>
        <v>6.8</v>
      </c>
    </row>
    <row r="6" spans="1:10" x14ac:dyDescent="0.25">
      <c r="A6" s="10">
        <v>100105</v>
      </c>
      <c r="B6" s="6" t="s">
        <v>268</v>
      </c>
      <c r="C6" s="7">
        <v>114</v>
      </c>
      <c r="D6" s="7">
        <v>0</v>
      </c>
      <c r="E6" s="8">
        <v>46294.687048611115</v>
      </c>
      <c r="F6" s="9">
        <v>46294</v>
      </c>
      <c r="G6" s="6" t="s">
        <v>38</v>
      </c>
      <c r="H6" s="12" t="s">
        <v>496</v>
      </c>
      <c r="I6" s="12" t="str">
        <f>IFERROR(VLOOKUP(A6,Hoja2!A:C,3,FALSE),"0")</f>
        <v>0</v>
      </c>
      <c r="J6" s="13">
        <f>+D6-I6</f>
        <v>0</v>
      </c>
    </row>
    <row r="7" spans="1:10" x14ac:dyDescent="0.25">
      <c r="A7" s="10">
        <v>103305</v>
      </c>
      <c r="B7" s="6" t="s">
        <v>217</v>
      </c>
      <c r="C7" s="7">
        <v>0</v>
      </c>
      <c r="D7" s="7">
        <v>0</v>
      </c>
      <c r="E7" s="8">
        <v>46265.652511574073</v>
      </c>
      <c r="F7" s="9">
        <v>46265</v>
      </c>
      <c r="G7" s="6" t="s">
        <v>38</v>
      </c>
      <c r="H7" s="12" t="s">
        <v>496</v>
      </c>
      <c r="I7" s="12" t="str">
        <f>IFERROR(VLOOKUP(A7,Hoja2!A:C,3,FALSE),"0")</f>
        <v>0</v>
      </c>
      <c r="J7" s="13">
        <f>+D7-I7</f>
        <v>0</v>
      </c>
    </row>
    <row r="8" spans="1:10" x14ac:dyDescent="0.25">
      <c r="A8" s="10">
        <v>141110</v>
      </c>
      <c r="B8" s="6" t="s">
        <v>10</v>
      </c>
      <c r="C8" s="7">
        <v>0</v>
      </c>
      <c r="D8" s="7">
        <v>0.9</v>
      </c>
      <c r="E8" s="8">
        <v>46168.649386574078</v>
      </c>
      <c r="F8" s="9">
        <v>46168</v>
      </c>
      <c r="G8" s="6" t="s">
        <v>11</v>
      </c>
      <c r="H8" s="12" t="s">
        <v>496</v>
      </c>
      <c r="I8" s="12" t="str">
        <f>IFERROR(VLOOKUP(A8,Hoja2!A:C,3,FALSE),"0")</f>
        <v>0</v>
      </c>
      <c r="J8" s="13">
        <f>+D8-I8</f>
        <v>0.9</v>
      </c>
    </row>
    <row r="9" spans="1:10" x14ac:dyDescent="0.25">
      <c r="A9" s="10">
        <v>141201</v>
      </c>
      <c r="B9" s="6" t="s">
        <v>12</v>
      </c>
      <c r="C9" s="7">
        <v>0</v>
      </c>
      <c r="D9" s="7">
        <v>142</v>
      </c>
      <c r="E9" s="8">
        <v>46293.642187500001</v>
      </c>
      <c r="F9" s="9">
        <v>46293</v>
      </c>
      <c r="G9" s="6" t="s">
        <v>11</v>
      </c>
      <c r="H9" s="12" t="s">
        <v>496</v>
      </c>
      <c r="I9" s="12" t="str">
        <f>IFERROR(VLOOKUP(A9,Hoja2!A:C,3,FALSE),"0")</f>
        <v>0</v>
      </c>
      <c r="J9" s="13">
        <f>+D9-I9</f>
        <v>142</v>
      </c>
    </row>
    <row r="10" spans="1:10" x14ac:dyDescent="0.25">
      <c r="A10" s="10">
        <v>141202</v>
      </c>
      <c r="B10" s="6" t="s">
        <v>290</v>
      </c>
      <c r="C10" s="7">
        <v>0</v>
      </c>
      <c r="D10" s="7">
        <v>143</v>
      </c>
      <c r="E10" s="8">
        <v>46294.970300925925</v>
      </c>
      <c r="F10" s="9">
        <v>46294</v>
      </c>
      <c r="G10" s="6" t="s">
        <v>11</v>
      </c>
      <c r="H10" s="12" t="s">
        <v>496</v>
      </c>
      <c r="I10" s="12" t="str">
        <f>IFERROR(VLOOKUP(A10,Hoja2!A:C,3,FALSE),"0")</f>
        <v>0</v>
      </c>
      <c r="J10" s="13">
        <f>+D10-I10</f>
        <v>143</v>
      </c>
    </row>
    <row r="11" spans="1:10" x14ac:dyDescent="0.25">
      <c r="A11" s="10">
        <v>141203</v>
      </c>
      <c r="B11" s="6" t="s">
        <v>13</v>
      </c>
      <c r="C11" s="7">
        <v>0</v>
      </c>
      <c r="D11" s="7">
        <v>14</v>
      </c>
      <c r="E11" s="8">
        <v>46252.422812500001</v>
      </c>
      <c r="F11" s="9">
        <v>46252</v>
      </c>
      <c r="G11" s="6" t="s">
        <v>11</v>
      </c>
      <c r="H11" s="12" t="s">
        <v>496</v>
      </c>
      <c r="I11" s="12" t="str">
        <f>IFERROR(VLOOKUP(A11,Hoja2!A:C,3,FALSE),"0")</f>
        <v>0</v>
      </c>
      <c r="J11" s="13">
        <f>+D11-I11</f>
        <v>14</v>
      </c>
    </row>
    <row r="12" spans="1:10" x14ac:dyDescent="0.25">
      <c r="A12" s="10">
        <v>141204</v>
      </c>
      <c r="B12" s="6" t="s">
        <v>14</v>
      </c>
      <c r="C12" s="7">
        <v>0</v>
      </c>
      <c r="D12" s="7">
        <v>7</v>
      </c>
      <c r="E12" s="8">
        <v>46252.422812500001</v>
      </c>
      <c r="F12" s="9">
        <v>46252</v>
      </c>
      <c r="G12" s="6" t="s">
        <v>11</v>
      </c>
      <c r="H12" s="12" t="s">
        <v>496</v>
      </c>
      <c r="I12" s="12" t="str">
        <f>IFERROR(VLOOKUP(A12,Hoja2!A:C,3,FALSE),"0")</f>
        <v>0</v>
      </c>
      <c r="J12" s="13">
        <f>+D12-I12</f>
        <v>7</v>
      </c>
    </row>
    <row r="13" spans="1:10" x14ac:dyDescent="0.25">
      <c r="A13" s="10">
        <v>141302</v>
      </c>
      <c r="B13" s="6" t="s">
        <v>15</v>
      </c>
      <c r="C13" s="7">
        <v>0</v>
      </c>
      <c r="D13" s="7">
        <v>37</v>
      </c>
      <c r="E13" s="8">
        <v>46293.642187500001</v>
      </c>
      <c r="F13" s="9">
        <v>46293</v>
      </c>
      <c r="G13" s="6" t="s">
        <v>11</v>
      </c>
      <c r="H13" s="12" t="s">
        <v>496</v>
      </c>
      <c r="I13" s="12" t="str">
        <f>IFERROR(VLOOKUP(A13,Hoja2!A:C,3,FALSE),"0")</f>
        <v>0</v>
      </c>
      <c r="J13" s="13">
        <f>+D13-I13</f>
        <v>37</v>
      </c>
    </row>
    <row r="14" spans="1:10" x14ac:dyDescent="0.25">
      <c r="A14" s="10">
        <v>141303</v>
      </c>
      <c r="B14" s="6" t="s">
        <v>16</v>
      </c>
      <c r="C14" s="7">
        <v>0</v>
      </c>
      <c r="D14" s="7">
        <v>19</v>
      </c>
      <c r="E14" s="8">
        <v>46293.642187500001</v>
      </c>
      <c r="F14" s="9">
        <v>46293</v>
      </c>
      <c r="G14" s="6" t="s">
        <v>11</v>
      </c>
      <c r="H14" s="12" t="s">
        <v>496</v>
      </c>
      <c r="I14" s="12" t="str">
        <f>IFERROR(VLOOKUP(A14,Hoja2!A:C,3,FALSE),"0")</f>
        <v>0</v>
      </c>
      <c r="J14" s="13">
        <f>+D14-I14</f>
        <v>19</v>
      </c>
    </row>
    <row r="15" spans="1:10" x14ac:dyDescent="0.25">
      <c r="A15" s="10">
        <v>141309</v>
      </c>
      <c r="B15" s="6" t="s">
        <v>403</v>
      </c>
      <c r="C15" s="7">
        <v>0</v>
      </c>
      <c r="D15" s="7">
        <v>20</v>
      </c>
      <c r="E15" s="8">
        <v>46293.642187500001</v>
      </c>
      <c r="F15" s="9">
        <v>46293</v>
      </c>
      <c r="G15" s="6" t="s">
        <v>11</v>
      </c>
      <c r="H15" s="12" t="s">
        <v>496</v>
      </c>
      <c r="I15" s="12" t="str">
        <f>IFERROR(VLOOKUP(A15,Hoja2!A:C,3,FALSE),"0")</f>
        <v>0</v>
      </c>
      <c r="J15" s="13">
        <f>+D15-I15</f>
        <v>20</v>
      </c>
    </row>
    <row r="16" spans="1:10" x14ac:dyDescent="0.25">
      <c r="A16" s="10">
        <v>141401</v>
      </c>
      <c r="B16" s="6" t="s">
        <v>351</v>
      </c>
      <c r="C16" s="7">
        <v>0</v>
      </c>
      <c r="D16" s="7">
        <v>62</v>
      </c>
      <c r="E16" s="8">
        <v>46231.807766203703</v>
      </c>
      <c r="F16" s="9">
        <v>46231</v>
      </c>
      <c r="G16" s="6" t="s">
        <v>11</v>
      </c>
      <c r="H16" s="12" t="s">
        <v>496</v>
      </c>
      <c r="I16" s="12" t="str">
        <f>IFERROR(VLOOKUP(A16,Hoja2!A:C,3,FALSE),"0")</f>
        <v>0</v>
      </c>
      <c r="J16" s="13">
        <f>+D16-I16</f>
        <v>62</v>
      </c>
    </row>
    <row r="17" spans="1:10" x14ac:dyDescent="0.25">
      <c r="A17" s="10">
        <v>141402</v>
      </c>
      <c r="B17" s="6" t="s">
        <v>17</v>
      </c>
      <c r="C17" s="7">
        <v>0</v>
      </c>
      <c r="D17" s="7">
        <v>30</v>
      </c>
      <c r="E17" s="8">
        <v>46230.403055555558</v>
      </c>
      <c r="F17" s="9">
        <v>46230</v>
      </c>
      <c r="G17" s="6" t="s">
        <v>11</v>
      </c>
      <c r="H17" s="12" t="s">
        <v>496</v>
      </c>
      <c r="I17" s="12" t="str">
        <f>IFERROR(VLOOKUP(A17,Hoja2!A:C,3,FALSE),"0")</f>
        <v>0</v>
      </c>
      <c r="J17" s="13">
        <f>+D17-I17</f>
        <v>30</v>
      </c>
    </row>
    <row r="18" spans="1:10" x14ac:dyDescent="0.25">
      <c r="A18" s="10">
        <v>141403</v>
      </c>
      <c r="B18" s="6" t="s">
        <v>18</v>
      </c>
      <c r="C18" s="7">
        <v>0</v>
      </c>
      <c r="D18" s="7">
        <v>60</v>
      </c>
      <c r="E18" s="8">
        <v>46230.403055555558</v>
      </c>
      <c r="F18" s="9">
        <v>46230</v>
      </c>
      <c r="G18" s="6" t="s">
        <v>11</v>
      </c>
      <c r="H18" s="12" t="s">
        <v>496</v>
      </c>
      <c r="I18" s="12" t="str">
        <f>IFERROR(VLOOKUP(A18,Hoja2!A:C,3,FALSE),"0")</f>
        <v>0</v>
      </c>
      <c r="J18" s="13">
        <f>+D18-I18</f>
        <v>60</v>
      </c>
    </row>
    <row r="19" spans="1:10" x14ac:dyDescent="0.25">
      <c r="A19" s="10">
        <v>141404</v>
      </c>
      <c r="B19" s="6" t="s">
        <v>19</v>
      </c>
      <c r="C19" s="7">
        <v>0</v>
      </c>
      <c r="D19" s="7">
        <v>26</v>
      </c>
      <c r="E19" s="8">
        <v>46269.588333333333</v>
      </c>
      <c r="F19" s="9">
        <v>46269</v>
      </c>
      <c r="G19" s="6" t="s">
        <v>11</v>
      </c>
      <c r="H19" s="12" t="s">
        <v>496</v>
      </c>
      <c r="I19" s="12" t="str">
        <f>IFERROR(VLOOKUP(A19,Hoja2!A:C,3,FALSE),"0")</f>
        <v>0</v>
      </c>
      <c r="J19" s="13">
        <f>+D19-I19</f>
        <v>26</v>
      </c>
    </row>
    <row r="20" spans="1:10" x14ac:dyDescent="0.25">
      <c r="A20" s="10">
        <v>141405</v>
      </c>
      <c r="B20" s="6" t="s">
        <v>20</v>
      </c>
      <c r="C20" s="7">
        <v>12</v>
      </c>
      <c r="D20" s="7">
        <v>110</v>
      </c>
      <c r="E20" s="8">
        <v>46294.970300925925</v>
      </c>
      <c r="F20" s="9">
        <v>46294</v>
      </c>
      <c r="G20" s="6" t="s">
        <v>11</v>
      </c>
      <c r="H20" s="12" t="s">
        <v>496</v>
      </c>
      <c r="I20" s="12" t="str">
        <f>IFERROR(VLOOKUP(A20,Hoja2!A:C,3,FALSE),"0")</f>
        <v>0</v>
      </c>
      <c r="J20" s="13">
        <f>+D20-I20</f>
        <v>110</v>
      </c>
    </row>
    <row r="21" spans="1:10" x14ac:dyDescent="0.25">
      <c r="A21" s="10">
        <v>141406</v>
      </c>
      <c r="B21" s="6" t="s">
        <v>21</v>
      </c>
      <c r="C21" s="7">
        <v>19</v>
      </c>
      <c r="D21" s="7">
        <v>37</v>
      </c>
      <c r="E21" s="8">
        <v>46230.403055555558</v>
      </c>
      <c r="F21" s="9">
        <v>46230</v>
      </c>
      <c r="G21" s="6" t="s">
        <v>11</v>
      </c>
      <c r="H21" s="12" t="s">
        <v>496</v>
      </c>
      <c r="I21" s="12" t="str">
        <f>IFERROR(VLOOKUP(A21,Hoja2!A:C,3,FALSE),"0")</f>
        <v>0</v>
      </c>
      <c r="J21" s="13">
        <f>+D21-I21</f>
        <v>37</v>
      </c>
    </row>
    <row r="22" spans="1:10" x14ac:dyDescent="0.25">
      <c r="A22" s="10">
        <v>141407</v>
      </c>
      <c r="B22" s="6" t="s">
        <v>22</v>
      </c>
      <c r="C22" s="7">
        <v>9</v>
      </c>
      <c r="D22" s="7">
        <v>46</v>
      </c>
      <c r="E22" s="8">
        <v>46294.986701388887</v>
      </c>
      <c r="F22" s="9">
        <v>46294</v>
      </c>
      <c r="G22" s="6" t="s">
        <v>11</v>
      </c>
      <c r="H22" s="12" t="s">
        <v>496</v>
      </c>
      <c r="I22" s="12" t="str">
        <f>IFERROR(VLOOKUP(A22,Hoja2!A:C,3,FALSE),"0")</f>
        <v>0</v>
      </c>
      <c r="J22" s="13">
        <f>+D22-I22</f>
        <v>46</v>
      </c>
    </row>
    <row r="23" spans="1:10" x14ac:dyDescent="0.25">
      <c r="A23" s="10">
        <v>141607</v>
      </c>
      <c r="B23" s="6" t="s">
        <v>23</v>
      </c>
      <c r="C23" s="7">
        <v>10</v>
      </c>
      <c r="D23" s="7">
        <v>53</v>
      </c>
      <c r="E23" s="8">
        <v>46293.642187500001</v>
      </c>
      <c r="F23" s="9">
        <v>46293</v>
      </c>
      <c r="G23" s="6" t="s">
        <v>11</v>
      </c>
      <c r="H23" s="12" t="s">
        <v>496</v>
      </c>
      <c r="I23" s="12" t="str">
        <f>IFERROR(VLOOKUP(A23,Hoja2!A:C,3,FALSE),"0")</f>
        <v>0</v>
      </c>
      <c r="J23" s="13">
        <f>+D23-I23</f>
        <v>53</v>
      </c>
    </row>
    <row r="24" spans="1:10" x14ac:dyDescent="0.25">
      <c r="A24" s="10">
        <v>141701</v>
      </c>
      <c r="B24" s="6" t="s">
        <v>24</v>
      </c>
      <c r="C24" s="7">
        <v>0</v>
      </c>
      <c r="D24" s="7">
        <v>38</v>
      </c>
      <c r="E24" s="8">
        <v>46294.970300925925</v>
      </c>
      <c r="F24" s="9">
        <v>46294</v>
      </c>
      <c r="G24" s="6" t="s">
        <v>11</v>
      </c>
      <c r="H24" s="12" t="s">
        <v>496</v>
      </c>
      <c r="I24" s="12" t="str">
        <f>IFERROR(VLOOKUP(A24,Hoja2!A:C,3,FALSE),"0")</f>
        <v>0</v>
      </c>
      <c r="J24" s="13">
        <f>+D24-I24</f>
        <v>38</v>
      </c>
    </row>
    <row r="25" spans="1:10" x14ac:dyDescent="0.25">
      <c r="A25" s="10">
        <v>141702</v>
      </c>
      <c r="B25" s="6" t="s">
        <v>25</v>
      </c>
      <c r="C25" s="7">
        <v>0</v>
      </c>
      <c r="D25" s="7">
        <v>30</v>
      </c>
      <c r="E25" s="8">
        <v>46293.645243055558</v>
      </c>
      <c r="F25" s="9">
        <v>46293</v>
      </c>
      <c r="G25" s="6" t="s">
        <v>11</v>
      </c>
      <c r="H25" s="12" t="s">
        <v>496</v>
      </c>
      <c r="I25" s="12" t="str">
        <f>IFERROR(VLOOKUP(A25,Hoja2!A:C,3,FALSE),"0")</f>
        <v>0</v>
      </c>
      <c r="J25" s="13">
        <f>+D25-I25</f>
        <v>30</v>
      </c>
    </row>
    <row r="26" spans="1:10" x14ac:dyDescent="0.25">
      <c r="A26" s="10">
        <v>141703</v>
      </c>
      <c r="B26" s="6" t="s">
        <v>26</v>
      </c>
      <c r="C26" s="7">
        <v>0</v>
      </c>
      <c r="D26" s="7">
        <v>5</v>
      </c>
      <c r="E26" s="8">
        <v>46247.664131944446</v>
      </c>
      <c r="F26" s="9">
        <v>46247</v>
      </c>
      <c r="G26" s="6" t="s">
        <v>11</v>
      </c>
      <c r="H26" s="12" t="s">
        <v>496</v>
      </c>
      <c r="I26" s="12" t="str">
        <f>IFERROR(VLOOKUP(A26,Hoja2!A:C,3,FALSE),"0")</f>
        <v>0</v>
      </c>
      <c r="J26" s="13">
        <f>+D26-I26</f>
        <v>5</v>
      </c>
    </row>
    <row r="27" spans="1:10" x14ac:dyDescent="0.25">
      <c r="A27" s="10">
        <v>141704</v>
      </c>
      <c r="B27" s="6" t="s">
        <v>27</v>
      </c>
      <c r="C27" s="7">
        <v>0</v>
      </c>
      <c r="D27" s="7">
        <v>18</v>
      </c>
      <c r="E27" s="8">
        <v>46266.767650462964</v>
      </c>
      <c r="F27" s="9">
        <v>46266</v>
      </c>
      <c r="G27" s="6" t="s">
        <v>11</v>
      </c>
      <c r="H27" s="12" t="s">
        <v>496</v>
      </c>
      <c r="I27" s="12" t="str">
        <f>IFERROR(VLOOKUP(A27,Hoja2!A:C,3,FALSE),"0")</f>
        <v>0</v>
      </c>
      <c r="J27" s="13">
        <f>+D27-I27</f>
        <v>18</v>
      </c>
    </row>
    <row r="28" spans="1:10" x14ac:dyDescent="0.25">
      <c r="A28" s="10">
        <v>141705</v>
      </c>
      <c r="B28" s="6" t="s">
        <v>291</v>
      </c>
      <c r="C28" s="7">
        <v>0</v>
      </c>
      <c r="D28" s="7">
        <v>5.7</v>
      </c>
      <c r="E28" s="8">
        <v>46294.986701388887</v>
      </c>
      <c r="F28" s="9">
        <v>46294</v>
      </c>
      <c r="G28" s="6" t="s">
        <v>11</v>
      </c>
      <c r="H28" s="12" t="s">
        <v>496</v>
      </c>
      <c r="I28" s="12" t="str">
        <f>IFERROR(VLOOKUP(A28,Hoja2!A:C,3,FALSE),"0")</f>
        <v>0</v>
      </c>
      <c r="J28" s="13">
        <f>+D28-I28</f>
        <v>5.7</v>
      </c>
    </row>
    <row r="29" spans="1:10" x14ac:dyDescent="0.25">
      <c r="A29" s="10">
        <v>141707</v>
      </c>
      <c r="B29" s="6" t="s">
        <v>28</v>
      </c>
      <c r="C29" s="7">
        <v>-50</v>
      </c>
      <c r="D29" s="7">
        <v>30.05</v>
      </c>
      <c r="E29" s="8">
        <v>46294.986701388887</v>
      </c>
      <c r="F29" s="9">
        <v>46294</v>
      </c>
      <c r="G29" s="6" t="s">
        <v>11</v>
      </c>
      <c r="H29" s="12" t="s">
        <v>496</v>
      </c>
      <c r="I29" s="12" t="str">
        <f>IFERROR(VLOOKUP(A29,Hoja2!A:C,3,FALSE),"0")</f>
        <v>0</v>
      </c>
      <c r="J29" s="13">
        <f>+D29-I29</f>
        <v>30.05</v>
      </c>
    </row>
    <row r="30" spans="1:10" x14ac:dyDescent="0.25">
      <c r="A30" s="10">
        <v>141708</v>
      </c>
      <c r="B30" s="6" t="s">
        <v>376</v>
      </c>
      <c r="C30" s="7">
        <v>0</v>
      </c>
      <c r="D30" s="7">
        <v>0</v>
      </c>
      <c r="E30" s="8">
        <v>46247.664131944446</v>
      </c>
      <c r="F30" s="9">
        <v>46247</v>
      </c>
      <c r="G30" s="6" t="s">
        <v>11</v>
      </c>
      <c r="H30" s="12" t="s">
        <v>496</v>
      </c>
      <c r="I30" s="12" t="str">
        <f>IFERROR(VLOOKUP(A30,Hoja2!A:C,3,FALSE),"0")</f>
        <v>0</v>
      </c>
      <c r="J30" s="13">
        <f>+D30-I30</f>
        <v>0</v>
      </c>
    </row>
    <row r="31" spans="1:10" x14ac:dyDescent="0.25">
      <c r="A31" s="10">
        <v>141712</v>
      </c>
      <c r="B31" s="6" t="s">
        <v>29</v>
      </c>
      <c r="C31" s="7">
        <v>-2</v>
      </c>
      <c r="D31" s="7">
        <v>0</v>
      </c>
      <c r="E31" s="8">
        <v>46247.664131944446</v>
      </c>
      <c r="F31" s="9">
        <v>46247</v>
      </c>
      <c r="G31" s="6" t="s">
        <v>11</v>
      </c>
      <c r="H31" s="12" t="s">
        <v>496</v>
      </c>
      <c r="I31" s="12" t="str">
        <f>IFERROR(VLOOKUP(A31,Hoja2!A:C,3,FALSE),"0")</f>
        <v>0</v>
      </c>
      <c r="J31" s="13">
        <f>+D31-I31</f>
        <v>0</v>
      </c>
    </row>
    <row r="32" spans="1:10" x14ac:dyDescent="0.25">
      <c r="A32" s="10">
        <v>141717</v>
      </c>
      <c r="B32" s="6" t="s">
        <v>327</v>
      </c>
      <c r="C32" s="7">
        <v>-32</v>
      </c>
      <c r="D32" s="7">
        <v>0</v>
      </c>
      <c r="E32" s="8">
        <v>46212.278252314813</v>
      </c>
      <c r="F32" s="9">
        <v>46212</v>
      </c>
      <c r="G32" s="6" t="s">
        <v>11</v>
      </c>
      <c r="H32" s="12" t="s">
        <v>496</v>
      </c>
      <c r="I32" s="12" t="str">
        <f>IFERROR(VLOOKUP(A32,Hoja2!A:C,3,FALSE),"0")</f>
        <v>0</v>
      </c>
      <c r="J32" s="13">
        <f>+D32-I32</f>
        <v>0</v>
      </c>
    </row>
    <row r="33" spans="1:10" x14ac:dyDescent="0.25">
      <c r="A33" s="10">
        <v>141911</v>
      </c>
      <c r="B33" s="6" t="s">
        <v>378</v>
      </c>
      <c r="C33" s="7">
        <v>0</v>
      </c>
      <c r="D33" s="7">
        <v>15</v>
      </c>
      <c r="E33" s="8">
        <v>46269.588333333333</v>
      </c>
      <c r="F33" s="9">
        <v>46269</v>
      </c>
      <c r="G33" s="6" t="s">
        <v>11</v>
      </c>
      <c r="H33" s="12" t="s">
        <v>496</v>
      </c>
      <c r="I33" s="12" t="str">
        <f>IFERROR(VLOOKUP(A33,Hoja2!A:C,3,FALSE),"0")</f>
        <v>0</v>
      </c>
      <c r="J33" s="13">
        <f>+D33-I33</f>
        <v>15</v>
      </c>
    </row>
    <row r="34" spans="1:10" x14ac:dyDescent="0.25">
      <c r="A34" s="10">
        <v>141912</v>
      </c>
      <c r="B34" s="6" t="s">
        <v>30</v>
      </c>
      <c r="C34" s="7">
        <v>0</v>
      </c>
      <c r="D34" s="7">
        <v>8</v>
      </c>
      <c r="E34" s="8">
        <v>46252.422812500001</v>
      </c>
      <c r="F34" s="9">
        <v>46252</v>
      </c>
      <c r="G34" s="6" t="s">
        <v>11</v>
      </c>
      <c r="H34" s="12" t="s">
        <v>496</v>
      </c>
      <c r="I34" s="12" t="str">
        <f>IFERROR(VLOOKUP(A34,Hoja2!A:C,3,FALSE),"0")</f>
        <v>0</v>
      </c>
      <c r="J34" s="13">
        <f>+D34-I34</f>
        <v>8</v>
      </c>
    </row>
    <row r="35" spans="1:10" x14ac:dyDescent="0.25">
      <c r="A35" s="10">
        <v>141920</v>
      </c>
      <c r="B35" s="6" t="s">
        <v>297</v>
      </c>
      <c r="C35" s="7">
        <v>-12</v>
      </c>
      <c r="D35" s="7">
        <v>0</v>
      </c>
      <c r="E35" s="8">
        <v>46203.745405092595</v>
      </c>
      <c r="F35" s="9">
        <v>46203</v>
      </c>
      <c r="G35" s="6" t="s">
        <v>11</v>
      </c>
      <c r="H35" s="12" t="s">
        <v>496</v>
      </c>
      <c r="I35" s="12" t="str">
        <f>IFERROR(VLOOKUP(A35,Hoja2!A:C,3,FALSE),"0")</f>
        <v>0</v>
      </c>
      <c r="J35" s="13">
        <f>+D35-I35</f>
        <v>0</v>
      </c>
    </row>
    <row r="36" spans="1:10" x14ac:dyDescent="0.25">
      <c r="A36" s="10">
        <v>150001</v>
      </c>
      <c r="B36" s="6" t="s">
        <v>292</v>
      </c>
      <c r="C36" s="7">
        <v>-54</v>
      </c>
      <c r="D36" s="7">
        <v>29.9</v>
      </c>
      <c r="E36" s="8">
        <v>46279.46429398148</v>
      </c>
      <c r="F36" s="9">
        <v>46279</v>
      </c>
      <c r="G36" s="6" t="s">
        <v>11</v>
      </c>
      <c r="H36" s="12" t="s">
        <v>496</v>
      </c>
      <c r="I36" s="12" t="str">
        <f>IFERROR(VLOOKUP(A36,Hoja2!A:C,3,FALSE),"0")</f>
        <v>0</v>
      </c>
      <c r="J36" s="13">
        <f>+D36-I36</f>
        <v>29.9</v>
      </c>
    </row>
    <row r="37" spans="1:10" x14ac:dyDescent="0.25">
      <c r="A37" s="10">
        <v>150002</v>
      </c>
      <c r="B37" s="6" t="s">
        <v>293</v>
      </c>
      <c r="C37" s="7">
        <v>-28</v>
      </c>
      <c r="D37" s="7">
        <v>18.55</v>
      </c>
      <c r="E37" s="8">
        <v>46279.46429398148</v>
      </c>
      <c r="F37" s="9">
        <v>46279</v>
      </c>
      <c r="G37" s="6" t="s">
        <v>11</v>
      </c>
      <c r="H37" s="12" t="s">
        <v>496</v>
      </c>
      <c r="I37" s="12" t="str">
        <f>IFERROR(VLOOKUP(A37,Hoja2!A:C,3,FALSE),"0")</f>
        <v>0</v>
      </c>
      <c r="J37" s="13">
        <f>+D37-I37</f>
        <v>18.55</v>
      </c>
    </row>
    <row r="38" spans="1:10" x14ac:dyDescent="0.25">
      <c r="A38" s="10">
        <v>150003</v>
      </c>
      <c r="B38" s="6" t="s">
        <v>294</v>
      </c>
      <c r="C38" s="7">
        <v>-38</v>
      </c>
      <c r="D38" s="7">
        <v>1.2</v>
      </c>
      <c r="E38" s="8">
        <v>46279.46429398148</v>
      </c>
      <c r="F38" s="9">
        <v>46279</v>
      </c>
      <c r="G38" s="6" t="s">
        <v>11</v>
      </c>
      <c r="H38" s="12" t="s">
        <v>496</v>
      </c>
      <c r="I38" s="12" t="str">
        <f>IFERROR(VLOOKUP(A38,Hoja2!A:C,3,FALSE),"0")</f>
        <v>0</v>
      </c>
      <c r="J38" s="13">
        <f>+D38-I38</f>
        <v>1.2</v>
      </c>
    </row>
    <row r="39" spans="1:10" x14ac:dyDescent="0.25">
      <c r="A39" s="10">
        <v>150004</v>
      </c>
      <c r="B39" s="6" t="s">
        <v>295</v>
      </c>
      <c r="C39" s="7">
        <v>-24</v>
      </c>
      <c r="D39" s="7">
        <v>0</v>
      </c>
      <c r="E39" s="8">
        <v>46231.811585648145</v>
      </c>
      <c r="F39" s="9">
        <v>46231</v>
      </c>
      <c r="G39" s="6" t="s">
        <v>11</v>
      </c>
      <c r="H39" s="12" t="s">
        <v>496</v>
      </c>
      <c r="I39" s="12" t="str">
        <f>IFERROR(VLOOKUP(A39,Hoja2!A:C,3,FALSE),"0")</f>
        <v>0</v>
      </c>
      <c r="J39" s="13">
        <f>+D39-I39</f>
        <v>0</v>
      </c>
    </row>
    <row r="40" spans="1:10" x14ac:dyDescent="0.25">
      <c r="A40" s="10">
        <v>150005</v>
      </c>
      <c r="B40" s="6" t="s">
        <v>296</v>
      </c>
      <c r="C40" s="7">
        <v>-23</v>
      </c>
      <c r="D40" s="7">
        <v>0</v>
      </c>
      <c r="E40" s="8">
        <v>46225.589120370372</v>
      </c>
      <c r="F40" s="9">
        <v>46225</v>
      </c>
      <c r="G40" s="6" t="s">
        <v>11</v>
      </c>
      <c r="H40" s="12" t="s">
        <v>496</v>
      </c>
      <c r="I40" s="12" t="str">
        <f>IFERROR(VLOOKUP(A40,Hoja2!A:C,3,FALSE),"0")</f>
        <v>0</v>
      </c>
      <c r="J40" s="13">
        <f>+D40-I40</f>
        <v>0</v>
      </c>
    </row>
    <row r="41" spans="1:10" x14ac:dyDescent="0.25">
      <c r="A41" s="10">
        <v>150006</v>
      </c>
      <c r="B41" s="6" t="s">
        <v>395</v>
      </c>
      <c r="C41" s="7">
        <v>-14</v>
      </c>
      <c r="D41" s="7">
        <v>1.05</v>
      </c>
      <c r="E41" s="8">
        <v>46279.465775462966</v>
      </c>
      <c r="F41" s="9">
        <v>46279</v>
      </c>
      <c r="G41" s="6" t="s">
        <v>11</v>
      </c>
      <c r="H41" s="12" t="s">
        <v>496</v>
      </c>
      <c r="I41" s="12" t="str">
        <f>IFERROR(VLOOKUP(A41,Hoja2!A:C,3,FALSE),"0")</f>
        <v>0</v>
      </c>
      <c r="J41" s="13">
        <f>+D41-I41</f>
        <v>1.05</v>
      </c>
    </row>
    <row r="42" spans="1:10" x14ac:dyDescent="0.25">
      <c r="A42" s="10">
        <v>201001</v>
      </c>
      <c r="B42" s="6" t="s">
        <v>387</v>
      </c>
      <c r="C42" s="7">
        <v>0</v>
      </c>
      <c r="D42" s="7">
        <v>0</v>
      </c>
      <c r="E42" s="8">
        <v>46269.585625</v>
      </c>
      <c r="F42" s="9">
        <v>46269</v>
      </c>
      <c r="G42" s="6" t="s">
        <v>32</v>
      </c>
      <c r="H42" s="12" t="s">
        <v>496</v>
      </c>
      <c r="I42" s="12" t="str">
        <f>IFERROR(VLOOKUP(A42,Hoja2!A:C,3,FALSE),"0")</f>
        <v>0</v>
      </c>
      <c r="J42" s="13">
        <f>+D42-I42</f>
        <v>0</v>
      </c>
    </row>
    <row r="43" spans="1:10" x14ac:dyDescent="0.25">
      <c r="A43" s="10">
        <v>201002</v>
      </c>
      <c r="B43" s="6" t="s">
        <v>386</v>
      </c>
      <c r="C43" s="7">
        <v>0</v>
      </c>
      <c r="D43" s="7">
        <v>0</v>
      </c>
      <c r="E43" s="8">
        <v>46266.756793981483</v>
      </c>
      <c r="F43" s="9">
        <v>46266</v>
      </c>
      <c r="G43" s="6" t="s">
        <v>32</v>
      </c>
      <c r="H43" s="12" t="s">
        <v>496</v>
      </c>
      <c r="I43" s="12" t="str">
        <f>IFERROR(VLOOKUP(A43,Hoja2!A:C,3,FALSE),"0")</f>
        <v>0</v>
      </c>
      <c r="J43" s="13">
        <f>+D43-I43</f>
        <v>0</v>
      </c>
    </row>
    <row r="44" spans="1:10" x14ac:dyDescent="0.25">
      <c r="A44" s="10">
        <v>201003</v>
      </c>
      <c r="B44" s="6" t="s">
        <v>388</v>
      </c>
      <c r="C44" s="7">
        <v>0</v>
      </c>
      <c r="D44" s="7">
        <v>0</v>
      </c>
      <c r="E44" s="8">
        <v>46266.758564814816</v>
      </c>
      <c r="F44" s="9">
        <v>46266</v>
      </c>
      <c r="G44" s="6" t="s">
        <v>32</v>
      </c>
      <c r="H44" s="12" t="s">
        <v>496</v>
      </c>
      <c r="I44" s="12" t="str">
        <f>IFERROR(VLOOKUP(A44,Hoja2!A:C,3,FALSE),"0")</f>
        <v>0</v>
      </c>
      <c r="J44" s="13">
        <f>+D44-I44</f>
        <v>0</v>
      </c>
    </row>
    <row r="45" spans="1:10" x14ac:dyDescent="0.25">
      <c r="A45" s="10">
        <v>210005</v>
      </c>
      <c r="B45" s="6" t="s">
        <v>31</v>
      </c>
      <c r="C45" s="7">
        <v>5</v>
      </c>
      <c r="D45" s="7">
        <v>21</v>
      </c>
      <c r="E45" s="8">
        <v>46267.817835648151</v>
      </c>
      <c r="F45" s="9">
        <v>46267</v>
      </c>
      <c r="G45" s="6" t="s">
        <v>32</v>
      </c>
      <c r="H45" s="12" t="s">
        <v>496</v>
      </c>
      <c r="I45" s="12" t="str">
        <f>IFERROR(VLOOKUP(A45,Hoja2!A:C,3,FALSE),"0")</f>
        <v>0</v>
      </c>
      <c r="J45" s="13">
        <f>+D45-I45</f>
        <v>21</v>
      </c>
    </row>
    <row r="46" spans="1:10" x14ac:dyDescent="0.25">
      <c r="A46" s="10">
        <v>210006</v>
      </c>
      <c r="B46" s="6" t="s">
        <v>370</v>
      </c>
      <c r="C46" s="7">
        <v>0</v>
      </c>
      <c r="D46" s="7">
        <v>15</v>
      </c>
      <c r="E46" s="8">
        <v>46267.817835648151</v>
      </c>
      <c r="F46" s="9">
        <v>46267</v>
      </c>
      <c r="G46" s="6" t="s">
        <v>32</v>
      </c>
      <c r="H46" s="12" t="s">
        <v>496</v>
      </c>
      <c r="I46" s="12" t="str">
        <f>IFERROR(VLOOKUP(A46,Hoja2!A:C,3,FALSE),"0")</f>
        <v>0</v>
      </c>
      <c r="J46" s="13">
        <f>+D46-I46</f>
        <v>15</v>
      </c>
    </row>
    <row r="47" spans="1:10" x14ac:dyDescent="0.25">
      <c r="A47" s="10">
        <v>210007</v>
      </c>
      <c r="B47" s="6" t="s">
        <v>33</v>
      </c>
      <c r="C47" s="7">
        <v>0</v>
      </c>
      <c r="D47" s="7">
        <v>6</v>
      </c>
      <c r="E47" s="8">
        <v>46288.595266203702</v>
      </c>
      <c r="F47" s="9">
        <v>46288</v>
      </c>
      <c r="G47" s="6" t="s">
        <v>32</v>
      </c>
      <c r="H47" s="12" t="s">
        <v>496</v>
      </c>
      <c r="I47" s="12" t="str">
        <f>IFERROR(VLOOKUP(A47,Hoja2!A:C,3,FALSE),"0")</f>
        <v>0</v>
      </c>
      <c r="J47" s="13">
        <f>+D47-I47</f>
        <v>6</v>
      </c>
    </row>
    <row r="48" spans="1:10" x14ac:dyDescent="0.25">
      <c r="A48" s="10">
        <v>211006</v>
      </c>
      <c r="B48" s="6" t="s">
        <v>385</v>
      </c>
      <c r="C48" s="7">
        <v>0</v>
      </c>
      <c r="D48" s="7">
        <v>0</v>
      </c>
      <c r="E48" s="8">
        <v>46266.759259259263</v>
      </c>
      <c r="F48" s="9">
        <v>46266</v>
      </c>
      <c r="G48" s="6" t="s">
        <v>32</v>
      </c>
      <c r="H48" s="12" t="s">
        <v>496</v>
      </c>
      <c r="I48" s="12" t="str">
        <f>IFERROR(VLOOKUP(A48,Hoja2!A:C,3,FALSE),"0")</f>
        <v>0</v>
      </c>
      <c r="J48" s="13">
        <f>+D48-I48</f>
        <v>0</v>
      </c>
    </row>
    <row r="49" spans="1:10" x14ac:dyDescent="0.25">
      <c r="A49" s="10">
        <v>211019</v>
      </c>
      <c r="B49" s="6" t="s">
        <v>34</v>
      </c>
      <c r="C49" s="7">
        <v>0</v>
      </c>
      <c r="D49" s="7">
        <v>0</v>
      </c>
      <c r="E49" s="8">
        <v>46295.52484953704</v>
      </c>
      <c r="F49" s="9">
        <v>46295</v>
      </c>
      <c r="G49" s="6" t="s">
        <v>35</v>
      </c>
      <c r="H49" s="12" t="s">
        <v>496</v>
      </c>
      <c r="I49" s="12">
        <f>IFERROR(VLOOKUP(A49,Hoja2!A:C,3,FALSE),"0")</f>
        <v>120</v>
      </c>
      <c r="J49" s="13">
        <f>+D49-I49</f>
        <v>-120</v>
      </c>
    </row>
    <row r="50" spans="1:10" x14ac:dyDescent="0.25">
      <c r="A50" s="10">
        <v>211500</v>
      </c>
      <c r="B50" s="6" t="s">
        <v>405</v>
      </c>
      <c r="C50" s="7">
        <v>0</v>
      </c>
      <c r="D50" s="7">
        <v>0</v>
      </c>
      <c r="E50" s="8">
        <v>46295.528425925928</v>
      </c>
      <c r="F50" s="9">
        <v>46295</v>
      </c>
      <c r="G50" s="6" t="s">
        <v>35</v>
      </c>
      <c r="H50" s="12" t="s">
        <v>496</v>
      </c>
      <c r="I50" s="12">
        <f>IFERROR(VLOOKUP(A50,Hoja2!A:C,3,FALSE),"0")</f>
        <v>40</v>
      </c>
      <c r="J50" s="13">
        <f>+D50-I50</f>
        <v>-40</v>
      </c>
    </row>
    <row r="51" spans="1:10" x14ac:dyDescent="0.25">
      <c r="A51" s="10">
        <v>212001</v>
      </c>
      <c r="B51" s="6" t="s">
        <v>384</v>
      </c>
      <c r="C51" s="7">
        <v>0</v>
      </c>
      <c r="D51" s="7">
        <v>426.6</v>
      </c>
      <c r="E51" s="8">
        <v>46295.516238425924</v>
      </c>
      <c r="F51" s="9">
        <v>46295</v>
      </c>
      <c r="G51" s="6" t="s">
        <v>202</v>
      </c>
      <c r="H51" s="12" t="s">
        <v>496</v>
      </c>
      <c r="I51" s="12">
        <f>IFERROR(VLOOKUP(A51,Hoja2!A:C,3,FALSE),"0")</f>
        <v>30</v>
      </c>
      <c r="J51" s="13">
        <f>+D51-I51</f>
        <v>396.6</v>
      </c>
    </row>
    <row r="52" spans="1:10" x14ac:dyDescent="0.25">
      <c r="A52" s="10">
        <v>212020</v>
      </c>
      <c r="B52" s="6" t="s">
        <v>404</v>
      </c>
      <c r="C52" s="7">
        <v>0</v>
      </c>
      <c r="D52" s="7">
        <v>19.600000000000001</v>
      </c>
      <c r="E52" s="8">
        <v>46295.27380787037</v>
      </c>
      <c r="F52" s="9">
        <v>46295</v>
      </c>
      <c r="G52" s="6" t="s">
        <v>77</v>
      </c>
      <c r="H52" s="12" t="s">
        <v>496</v>
      </c>
      <c r="I52" s="12" t="str">
        <f>IFERROR(VLOOKUP(A52,Hoja2!A:C,3,FALSE),"0")</f>
        <v>0</v>
      </c>
      <c r="J52" s="13">
        <f>+D52-I52</f>
        <v>19.600000000000001</v>
      </c>
    </row>
    <row r="53" spans="1:10" x14ac:dyDescent="0.25">
      <c r="A53" s="10">
        <v>212096</v>
      </c>
      <c r="B53" s="6" t="s">
        <v>36</v>
      </c>
      <c r="C53" s="7">
        <v>0</v>
      </c>
      <c r="D53" s="7">
        <v>0</v>
      </c>
      <c r="E53" s="8">
        <v>46168.649386574078</v>
      </c>
      <c r="F53" s="9">
        <v>46168</v>
      </c>
      <c r="G53" s="6" t="s">
        <v>35</v>
      </c>
      <c r="H53" s="12" t="s">
        <v>496</v>
      </c>
      <c r="I53" s="12" t="str">
        <f>IFERROR(VLOOKUP(A53,Hoja2!A:C,3,FALSE),"0")</f>
        <v>0</v>
      </c>
      <c r="J53" s="13">
        <f>+D53-I53</f>
        <v>0</v>
      </c>
    </row>
    <row r="54" spans="1:10" x14ac:dyDescent="0.25">
      <c r="A54" s="10">
        <v>212104</v>
      </c>
      <c r="B54" s="6" t="s">
        <v>401</v>
      </c>
      <c r="C54" s="7">
        <v>0</v>
      </c>
      <c r="D54" s="7">
        <v>21.9</v>
      </c>
      <c r="E54" s="8">
        <v>46295.5153125</v>
      </c>
      <c r="F54" s="9">
        <v>46295</v>
      </c>
      <c r="G54" s="6" t="s">
        <v>202</v>
      </c>
      <c r="H54" s="12" t="s">
        <v>496</v>
      </c>
      <c r="I54" s="12">
        <f>IFERROR(VLOOKUP(A54,Hoja2!A:C,3,FALSE),"0")</f>
        <v>23</v>
      </c>
      <c r="J54" s="13">
        <f>+D54-I54</f>
        <v>-1.1000000000000014</v>
      </c>
    </row>
    <row r="55" spans="1:10" x14ac:dyDescent="0.25">
      <c r="A55" s="10">
        <v>320001</v>
      </c>
      <c r="B55" s="6" t="s">
        <v>396</v>
      </c>
      <c r="C55" s="7">
        <v>0</v>
      </c>
      <c r="D55" s="7">
        <v>133</v>
      </c>
      <c r="E55" s="8">
        <v>46286.473564814813</v>
      </c>
      <c r="F55" s="9">
        <v>46286</v>
      </c>
      <c r="G55" s="6" t="s">
        <v>397</v>
      </c>
      <c r="H55" s="12" t="s">
        <v>496</v>
      </c>
      <c r="I55" s="12" t="str">
        <f>IFERROR(VLOOKUP(A55,Hoja2!A:C,3,FALSE),"0")</f>
        <v>0</v>
      </c>
      <c r="J55" s="13">
        <f>+D55-I55</f>
        <v>133</v>
      </c>
    </row>
    <row r="56" spans="1:10" x14ac:dyDescent="0.25">
      <c r="A56" s="10">
        <v>320002</v>
      </c>
      <c r="B56" s="6" t="s">
        <v>398</v>
      </c>
      <c r="C56" s="7">
        <v>2</v>
      </c>
      <c r="D56" s="7">
        <v>27</v>
      </c>
      <c r="E56" s="8">
        <v>46286.473564814813</v>
      </c>
      <c r="F56" s="9">
        <v>46286</v>
      </c>
      <c r="G56" s="6" t="s">
        <v>397</v>
      </c>
      <c r="H56" s="12" t="s">
        <v>496</v>
      </c>
      <c r="I56" s="12" t="str">
        <f>IFERROR(VLOOKUP(A56,Hoja2!A:C,3,FALSE),"0")</f>
        <v>0</v>
      </c>
      <c r="J56" s="13">
        <f>+D56-I56</f>
        <v>27</v>
      </c>
    </row>
    <row r="57" spans="1:10" x14ac:dyDescent="0.25">
      <c r="A57" s="10">
        <v>320003</v>
      </c>
      <c r="B57" s="6" t="s">
        <v>399</v>
      </c>
      <c r="C57" s="7">
        <v>2</v>
      </c>
      <c r="D57" s="7">
        <v>20</v>
      </c>
      <c r="E57" s="8">
        <v>46286.473564814813</v>
      </c>
      <c r="F57" s="9">
        <v>46286</v>
      </c>
      <c r="G57" s="6" t="s">
        <v>397</v>
      </c>
      <c r="H57" s="12" t="s">
        <v>496</v>
      </c>
      <c r="I57" s="12" t="str">
        <f>IFERROR(VLOOKUP(A57,Hoja2!A:C,3,FALSE),"0")</f>
        <v>0</v>
      </c>
      <c r="J57" s="13">
        <f>+D57-I57</f>
        <v>20</v>
      </c>
    </row>
    <row r="58" spans="1:10" x14ac:dyDescent="0.25">
      <c r="A58" s="10">
        <v>320004</v>
      </c>
      <c r="B58" s="6" t="s">
        <v>400</v>
      </c>
      <c r="C58" s="7">
        <v>2</v>
      </c>
      <c r="D58" s="7">
        <v>26</v>
      </c>
      <c r="E58" s="8">
        <v>46286.473564814813</v>
      </c>
      <c r="F58" s="9">
        <v>46286</v>
      </c>
      <c r="G58" s="6" t="s">
        <v>397</v>
      </c>
      <c r="H58" s="12" t="s">
        <v>496</v>
      </c>
      <c r="I58" s="12" t="str">
        <f>IFERROR(VLOOKUP(A58,Hoja2!A:C,3,FALSE),"0")</f>
        <v>0</v>
      </c>
      <c r="J58" s="13">
        <f>+D58-I58</f>
        <v>26</v>
      </c>
    </row>
    <row r="59" spans="1:10" x14ac:dyDescent="0.25">
      <c r="A59" s="10">
        <v>330001</v>
      </c>
      <c r="B59" s="6" t="s">
        <v>37</v>
      </c>
      <c r="C59" s="7">
        <v>-20</v>
      </c>
      <c r="D59" s="7">
        <v>0</v>
      </c>
      <c r="E59" s="8">
        <v>46172.373217592591</v>
      </c>
      <c r="F59" s="9">
        <v>46172</v>
      </c>
      <c r="G59" s="6" t="s">
        <v>38</v>
      </c>
      <c r="H59" s="12" t="s">
        <v>496</v>
      </c>
      <c r="I59" s="12" t="str">
        <f>IFERROR(VLOOKUP(A59,Hoja2!A:C,3,FALSE),"0")</f>
        <v>0</v>
      </c>
      <c r="J59" s="13">
        <f>+D59-I59</f>
        <v>0</v>
      </c>
    </row>
    <row r="60" spans="1:10" x14ac:dyDescent="0.25">
      <c r="A60" s="10">
        <v>500000</v>
      </c>
      <c r="B60" s="6" t="s">
        <v>234</v>
      </c>
      <c r="C60" s="7">
        <v>-2</v>
      </c>
      <c r="D60" s="7">
        <v>0</v>
      </c>
      <c r="E60" s="8">
        <v>46280.070381944446</v>
      </c>
      <c r="F60" s="9">
        <v>46280</v>
      </c>
      <c r="G60" s="6" t="s">
        <v>40</v>
      </c>
      <c r="H60" s="12" t="s">
        <v>496</v>
      </c>
      <c r="I60" s="12" t="str">
        <f>IFERROR(VLOOKUP(A60,Hoja2!A:C,3,FALSE),"0")</f>
        <v>0</v>
      </c>
      <c r="J60" s="13">
        <f>+D60-I60</f>
        <v>0</v>
      </c>
    </row>
    <row r="61" spans="1:10" x14ac:dyDescent="0.25">
      <c r="A61" s="10">
        <v>500106</v>
      </c>
      <c r="B61" s="6" t="s">
        <v>226</v>
      </c>
      <c r="C61" s="7">
        <v>-30809</v>
      </c>
      <c r="D61" s="7">
        <v>3855.2150000000001</v>
      </c>
      <c r="E61" s="8">
        <v>46295.097997685189</v>
      </c>
      <c r="F61" s="9">
        <v>46295</v>
      </c>
      <c r="G61" s="6" t="s">
        <v>40</v>
      </c>
      <c r="H61" s="12" t="s">
        <v>496</v>
      </c>
      <c r="I61" s="12" t="str">
        <f>IFERROR(VLOOKUP(A61,Hoja2!A:C,3,FALSE),"0")</f>
        <v>0</v>
      </c>
      <c r="J61" s="13">
        <f>+D61-I61</f>
        <v>3855.2150000000001</v>
      </c>
    </row>
    <row r="62" spans="1:10" x14ac:dyDescent="0.25">
      <c r="A62" s="10">
        <v>500107</v>
      </c>
      <c r="B62" s="6" t="s">
        <v>227</v>
      </c>
      <c r="C62" s="7">
        <v>-32996</v>
      </c>
      <c r="D62" s="7">
        <v>2629.8820000000001</v>
      </c>
      <c r="E62" s="8">
        <v>46295.099282407406</v>
      </c>
      <c r="F62" s="9">
        <v>46295</v>
      </c>
      <c r="G62" s="6" t="s">
        <v>40</v>
      </c>
      <c r="H62" s="12" t="s">
        <v>496</v>
      </c>
      <c r="I62" s="12" t="str">
        <f>IFERROR(VLOOKUP(A62,Hoja2!A:C,3,FALSE),"0")</f>
        <v>0</v>
      </c>
      <c r="J62" s="13">
        <f>+D62-I62</f>
        <v>2629.8820000000001</v>
      </c>
    </row>
    <row r="63" spans="1:10" x14ac:dyDescent="0.25">
      <c r="A63" s="10">
        <v>500108</v>
      </c>
      <c r="B63" s="6" t="s">
        <v>228</v>
      </c>
      <c r="C63" s="7">
        <v>-23930</v>
      </c>
      <c r="D63" s="7">
        <v>2030.85</v>
      </c>
      <c r="E63" s="8">
        <v>46295.099282407406</v>
      </c>
      <c r="F63" s="9">
        <v>46295</v>
      </c>
      <c r="G63" s="6" t="s">
        <v>40</v>
      </c>
      <c r="H63" s="12" t="s">
        <v>496</v>
      </c>
      <c r="I63" s="12" t="str">
        <f>IFERROR(VLOOKUP(A63,Hoja2!A:C,3,FALSE),"0")</f>
        <v>0</v>
      </c>
      <c r="J63" s="13">
        <f>+D63-I63</f>
        <v>2030.85</v>
      </c>
    </row>
    <row r="64" spans="1:10" x14ac:dyDescent="0.25">
      <c r="A64" s="10">
        <v>500109</v>
      </c>
      <c r="B64" s="6" t="s">
        <v>229</v>
      </c>
      <c r="C64" s="7">
        <v>-3794</v>
      </c>
      <c r="D64" s="7">
        <v>819.27</v>
      </c>
      <c r="E64" s="8">
        <v>46295.097997685189</v>
      </c>
      <c r="F64" s="9">
        <v>46295</v>
      </c>
      <c r="G64" s="6" t="s">
        <v>40</v>
      </c>
      <c r="H64" s="12" t="s">
        <v>496</v>
      </c>
      <c r="I64" s="12" t="str">
        <f>IFERROR(VLOOKUP(A64,Hoja2!A:C,3,FALSE),"0")</f>
        <v>0</v>
      </c>
      <c r="J64" s="13">
        <f>+D64-I64</f>
        <v>819.27</v>
      </c>
    </row>
    <row r="65" spans="1:10" x14ac:dyDescent="0.25">
      <c r="A65" s="10">
        <v>501005</v>
      </c>
      <c r="B65" s="6" t="s">
        <v>230</v>
      </c>
      <c r="C65" s="7">
        <v>-9014</v>
      </c>
      <c r="D65" s="7">
        <v>0</v>
      </c>
      <c r="E65" s="8">
        <v>46267.220185185186</v>
      </c>
      <c r="F65" s="9">
        <v>46267</v>
      </c>
      <c r="G65" s="6" t="s">
        <v>40</v>
      </c>
      <c r="H65" s="12" t="s">
        <v>496</v>
      </c>
      <c r="I65" s="12" t="str">
        <f>IFERROR(VLOOKUP(A65,Hoja2!A:C,3,FALSE),"0")</f>
        <v>0</v>
      </c>
      <c r="J65" s="13">
        <f>+D65-I65</f>
        <v>0</v>
      </c>
    </row>
    <row r="66" spans="1:10" x14ac:dyDescent="0.25">
      <c r="A66" s="10">
        <v>501006</v>
      </c>
      <c r="B66" s="6" t="s">
        <v>231</v>
      </c>
      <c r="C66" s="7">
        <v>-28597</v>
      </c>
      <c r="D66" s="7">
        <v>4669.2</v>
      </c>
      <c r="E66" s="8">
        <v>46295.10832175926</v>
      </c>
      <c r="F66" s="9">
        <v>46295</v>
      </c>
      <c r="G66" s="6" t="s">
        <v>40</v>
      </c>
      <c r="H66" s="12" t="s">
        <v>496</v>
      </c>
      <c r="I66" s="12" t="str">
        <f>IFERROR(VLOOKUP(A66,Hoja2!A:C,3,FALSE),"0")</f>
        <v>0</v>
      </c>
      <c r="J66" s="13">
        <f>+D66-I66</f>
        <v>4669.2</v>
      </c>
    </row>
    <row r="67" spans="1:10" x14ac:dyDescent="0.25">
      <c r="A67" s="10">
        <v>501007</v>
      </c>
      <c r="B67" s="6" t="s">
        <v>232</v>
      </c>
      <c r="C67" s="7">
        <v>0</v>
      </c>
      <c r="D67" s="7">
        <v>0</v>
      </c>
      <c r="E67" s="8">
        <v>46231.996539351851</v>
      </c>
      <c r="F67" s="9">
        <v>46231</v>
      </c>
      <c r="G67" s="6" t="s">
        <v>40</v>
      </c>
      <c r="H67" s="12" t="s">
        <v>496</v>
      </c>
      <c r="I67" s="12" t="str">
        <f>IFERROR(VLOOKUP(A67,Hoja2!A:C,3,FALSE),"0")</f>
        <v>0</v>
      </c>
      <c r="J67" s="13">
        <f>+D67-I67</f>
        <v>0</v>
      </c>
    </row>
    <row r="68" spans="1:10" x14ac:dyDescent="0.25">
      <c r="A68" s="10">
        <v>501008</v>
      </c>
      <c r="B68" s="6" t="s">
        <v>233</v>
      </c>
      <c r="C68" s="7">
        <v>-40</v>
      </c>
      <c r="D68" s="7">
        <v>0</v>
      </c>
      <c r="E68" s="8">
        <v>46267.078194444446</v>
      </c>
      <c r="F68" s="9">
        <v>46267</v>
      </c>
      <c r="G68" s="6" t="s">
        <v>40</v>
      </c>
      <c r="H68" s="12" t="s">
        <v>496</v>
      </c>
      <c r="I68" s="12" t="str">
        <f>IFERROR(VLOOKUP(A68,Hoja2!A:C,3,FALSE),"0")</f>
        <v>0</v>
      </c>
      <c r="J68" s="13">
        <f>+D68-I68</f>
        <v>0</v>
      </c>
    </row>
    <row r="69" spans="1:10" x14ac:dyDescent="0.25">
      <c r="A69" s="10">
        <v>501116</v>
      </c>
      <c r="B69" s="6" t="s">
        <v>235</v>
      </c>
      <c r="C69" s="7">
        <v>-3055</v>
      </c>
      <c r="D69" s="7">
        <v>4926</v>
      </c>
      <c r="E69" s="8">
        <v>46295.10832175926</v>
      </c>
      <c r="F69" s="9">
        <v>46295</v>
      </c>
      <c r="G69" s="6" t="s">
        <v>40</v>
      </c>
      <c r="H69" s="12" t="s">
        <v>496</v>
      </c>
      <c r="I69" s="12" t="str">
        <f>IFERROR(VLOOKUP(A69,Hoja2!A:C,3,FALSE),"0")</f>
        <v>0</v>
      </c>
      <c r="J69" s="13">
        <f>+D69-I69</f>
        <v>4926</v>
      </c>
    </row>
    <row r="70" spans="1:10" x14ac:dyDescent="0.25">
      <c r="A70" s="10">
        <v>501117</v>
      </c>
      <c r="B70" s="6" t="s">
        <v>236</v>
      </c>
      <c r="C70" s="7">
        <v>-6017</v>
      </c>
      <c r="D70" s="7">
        <v>4830.6000000000004</v>
      </c>
      <c r="E70" s="8">
        <v>46295.191712962966</v>
      </c>
      <c r="F70" s="9">
        <v>46295</v>
      </c>
      <c r="G70" s="6" t="s">
        <v>40</v>
      </c>
      <c r="H70" s="12" t="s">
        <v>496</v>
      </c>
      <c r="I70" s="12" t="str">
        <f>IFERROR(VLOOKUP(A70,Hoja2!A:C,3,FALSE),"0")</f>
        <v>0</v>
      </c>
      <c r="J70" s="13">
        <f>+D70-I70</f>
        <v>4830.6000000000004</v>
      </c>
    </row>
    <row r="71" spans="1:10" x14ac:dyDescent="0.25">
      <c r="A71" s="10">
        <v>501118</v>
      </c>
      <c r="B71" s="6" t="s">
        <v>237</v>
      </c>
      <c r="C71" s="7">
        <v>-3859</v>
      </c>
      <c r="D71" s="7">
        <v>4917.6000000000004</v>
      </c>
      <c r="E71" s="8">
        <v>46295.194606481484</v>
      </c>
      <c r="F71" s="9">
        <v>46295</v>
      </c>
      <c r="G71" s="6" t="s">
        <v>40</v>
      </c>
      <c r="H71" s="12" t="s">
        <v>496</v>
      </c>
      <c r="I71" s="12" t="str">
        <f>IFERROR(VLOOKUP(A71,Hoja2!A:C,3,FALSE),"0")</f>
        <v>0</v>
      </c>
      <c r="J71" s="13">
        <f>+D71-I71</f>
        <v>4917.6000000000004</v>
      </c>
    </row>
    <row r="72" spans="1:10" x14ac:dyDescent="0.25">
      <c r="A72" s="10">
        <v>501119</v>
      </c>
      <c r="B72" s="6" t="s">
        <v>238</v>
      </c>
      <c r="C72" s="7">
        <v>-178</v>
      </c>
      <c r="D72" s="7">
        <v>0</v>
      </c>
      <c r="E72" s="8">
        <v>46273.160138888888</v>
      </c>
      <c r="F72" s="9">
        <v>46273</v>
      </c>
      <c r="G72" s="6" t="s">
        <v>40</v>
      </c>
      <c r="H72" s="12" t="s">
        <v>496</v>
      </c>
      <c r="I72" s="12" t="str">
        <f>IFERROR(VLOOKUP(A72,Hoja2!A:C,3,FALSE),"0")</f>
        <v>0</v>
      </c>
      <c r="J72" s="13">
        <f>+D72-I72</f>
        <v>0</v>
      </c>
    </row>
    <row r="73" spans="1:10" x14ac:dyDescent="0.25">
      <c r="A73" s="10">
        <v>501216</v>
      </c>
      <c r="B73" s="6" t="s">
        <v>39</v>
      </c>
      <c r="C73" s="7">
        <v>-206</v>
      </c>
      <c r="D73" s="7">
        <v>227.2</v>
      </c>
      <c r="E73" s="8">
        <v>46267.54550925926</v>
      </c>
      <c r="F73" s="9">
        <v>46267</v>
      </c>
      <c r="G73" s="6" t="s">
        <v>40</v>
      </c>
      <c r="H73" s="12" t="s">
        <v>496</v>
      </c>
      <c r="I73" s="12" t="str">
        <f>IFERROR(VLOOKUP(A73,Hoja2!A:C,3,FALSE),"0")</f>
        <v>0</v>
      </c>
      <c r="J73" s="13">
        <f>+D73-I73</f>
        <v>227.2</v>
      </c>
    </row>
    <row r="74" spans="1:10" x14ac:dyDescent="0.25">
      <c r="A74" s="10">
        <v>501600</v>
      </c>
      <c r="B74" s="6" t="s">
        <v>251</v>
      </c>
      <c r="C74" s="7">
        <v>-30</v>
      </c>
      <c r="D74" s="7">
        <v>5093.8</v>
      </c>
      <c r="E74" s="8">
        <v>46295.759918981479</v>
      </c>
      <c r="F74" s="9">
        <v>46295</v>
      </c>
      <c r="G74" s="6" t="s">
        <v>42</v>
      </c>
      <c r="H74" s="12" t="s">
        <v>496</v>
      </c>
      <c r="I74" s="12" t="str">
        <f>IFERROR(VLOOKUP(A74,Hoja2!A:C,3,FALSE),"0")</f>
        <v>0</v>
      </c>
      <c r="J74" s="13">
        <f>+D74-I74</f>
        <v>5093.8</v>
      </c>
    </row>
    <row r="75" spans="1:10" x14ac:dyDescent="0.25">
      <c r="A75" s="10">
        <v>501601</v>
      </c>
      <c r="B75" s="6" t="s">
        <v>253</v>
      </c>
      <c r="C75" s="7">
        <v>0</v>
      </c>
      <c r="D75" s="7">
        <v>5148.3999999999996</v>
      </c>
      <c r="E75" s="8">
        <v>46295.759918981479</v>
      </c>
      <c r="F75" s="9">
        <v>46295</v>
      </c>
      <c r="G75" s="6" t="s">
        <v>40</v>
      </c>
      <c r="H75" s="12" t="s">
        <v>496</v>
      </c>
      <c r="I75" s="12" t="str">
        <f>IFERROR(VLOOKUP(A75,Hoja2!A:C,3,FALSE),"0")</f>
        <v>0</v>
      </c>
      <c r="J75" s="13">
        <f>+D75-I75</f>
        <v>5148.3999999999996</v>
      </c>
    </row>
    <row r="76" spans="1:10" x14ac:dyDescent="0.25">
      <c r="A76" s="10">
        <v>501603</v>
      </c>
      <c r="B76" s="6" t="s">
        <v>382</v>
      </c>
      <c r="C76" s="7">
        <v>0</v>
      </c>
      <c r="D76" s="7">
        <v>0</v>
      </c>
      <c r="E76" s="8">
        <v>46259.713946759257</v>
      </c>
      <c r="F76" s="9">
        <v>46259</v>
      </c>
      <c r="G76" s="6" t="s">
        <v>40</v>
      </c>
      <c r="H76" s="12" t="s">
        <v>496</v>
      </c>
      <c r="I76" s="12" t="str">
        <f>IFERROR(VLOOKUP(A76,Hoja2!A:C,3,FALSE),"0")</f>
        <v>0</v>
      </c>
      <c r="J76" s="13">
        <f>+D76-I76</f>
        <v>0</v>
      </c>
    </row>
    <row r="77" spans="1:10" x14ac:dyDescent="0.25">
      <c r="A77" s="10">
        <v>501604</v>
      </c>
      <c r="B77" s="6" t="s">
        <v>252</v>
      </c>
      <c r="C77" s="7">
        <v>-1231</v>
      </c>
      <c r="D77" s="7">
        <v>5725.0020000000004</v>
      </c>
      <c r="E77" s="8">
        <v>46295.759918981479</v>
      </c>
      <c r="F77" s="9">
        <v>46295</v>
      </c>
      <c r="G77" s="6" t="s">
        <v>42</v>
      </c>
      <c r="H77" s="12" t="s">
        <v>496</v>
      </c>
      <c r="I77" s="12" t="str">
        <f>IFERROR(VLOOKUP(A77,Hoja2!A:C,3,FALSE),"0")</f>
        <v>0</v>
      </c>
      <c r="J77" s="13">
        <f>+D77-I77</f>
        <v>5725.0020000000004</v>
      </c>
    </row>
    <row r="78" spans="1:10" x14ac:dyDescent="0.25">
      <c r="A78" s="10">
        <v>501605</v>
      </c>
      <c r="B78" s="6" t="s">
        <v>394</v>
      </c>
      <c r="C78" s="7">
        <v>0</v>
      </c>
      <c r="D78" s="7">
        <v>0</v>
      </c>
      <c r="E78" s="8">
        <v>46275.659155092595</v>
      </c>
      <c r="F78" s="9">
        <v>46275</v>
      </c>
      <c r="G78" s="6" t="s">
        <v>40</v>
      </c>
      <c r="H78" s="12" t="s">
        <v>496</v>
      </c>
      <c r="I78" s="12" t="str">
        <f>IFERROR(VLOOKUP(A78,Hoja2!A:C,3,FALSE),"0")</f>
        <v>0</v>
      </c>
      <c r="J78" s="13">
        <f>+D78-I78</f>
        <v>0</v>
      </c>
    </row>
    <row r="79" spans="1:10" x14ac:dyDescent="0.25">
      <c r="A79" s="10">
        <v>501606</v>
      </c>
      <c r="B79" s="6" t="s">
        <v>250</v>
      </c>
      <c r="C79" s="7">
        <v>-5759</v>
      </c>
      <c r="D79" s="7">
        <v>5227.0529999999999</v>
      </c>
      <c r="E79" s="8">
        <v>46295.759918981479</v>
      </c>
      <c r="F79" s="9">
        <v>46295</v>
      </c>
      <c r="G79" s="6" t="s">
        <v>42</v>
      </c>
      <c r="H79" s="12" t="s">
        <v>496</v>
      </c>
      <c r="I79" s="12" t="str">
        <f>IFERROR(VLOOKUP(A79,Hoja2!A:C,3,FALSE),"0")</f>
        <v>0</v>
      </c>
      <c r="J79" s="13">
        <f>+D79-I79</f>
        <v>5227.0529999999999</v>
      </c>
    </row>
    <row r="80" spans="1:10" x14ac:dyDescent="0.25">
      <c r="A80" s="10">
        <v>501641</v>
      </c>
      <c r="B80" s="6" t="s">
        <v>286</v>
      </c>
      <c r="C80" s="7">
        <v>-247</v>
      </c>
      <c r="D80" s="7">
        <v>612</v>
      </c>
      <c r="E80" s="8">
        <v>46290.410243055558</v>
      </c>
      <c r="F80" s="9">
        <v>46290</v>
      </c>
      <c r="G80" s="6" t="s">
        <v>42</v>
      </c>
      <c r="H80" s="12" t="s">
        <v>496</v>
      </c>
      <c r="I80" s="12" t="str">
        <f>IFERROR(VLOOKUP(A80,Hoja2!A:C,3,FALSE),"0")</f>
        <v>0</v>
      </c>
      <c r="J80" s="13">
        <f>+D80-I80</f>
        <v>612</v>
      </c>
    </row>
    <row r="81" spans="1:10" x14ac:dyDescent="0.25">
      <c r="A81" s="10">
        <v>501642</v>
      </c>
      <c r="B81" s="6" t="s">
        <v>374</v>
      </c>
      <c r="C81" s="7">
        <v>0</v>
      </c>
      <c r="D81" s="7">
        <v>67</v>
      </c>
      <c r="E81" s="8">
        <v>46294.970300925925</v>
      </c>
      <c r="F81" s="9">
        <v>46294</v>
      </c>
      <c r="G81" s="6" t="s">
        <v>55</v>
      </c>
      <c r="H81" s="12" t="s">
        <v>496</v>
      </c>
      <c r="I81" s="12" t="str">
        <f>IFERROR(VLOOKUP(A81,Hoja2!A:C,3,FALSE),"0")</f>
        <v>0</v>
      </c>
      <c r="J81" s="13">
        <f>+D81-I81</f>
        <v>67</v>
      </c>
    </row>
    <row r="82" spans="1:10" x14ac:dyDescent="0.25">
      <c r="A82" s="10">
        <v>501643</v>
      </c>
      <c r="B82" s="6" t="s">
        <v>375</v>
      </c>
      <c r="C82" s="7">
        <v>0</v>
      </c>
      <c r="D82" s="7">
        <v>67</v>
      </c>
      <c r="E82" s="8">
        <v>46268.652349537035</v>
      </c>
      <c r="F82" s="9">
        <v>46268</v>
      </c>
      <c r="G82" s="6" t="s">
        <v>55</v>
      </c>
      <c r="H82" s="12" t="s">
        <v>496</v>
      </c>
      <c r="I82" s="12" t="str">
        <f>IFERROR(VLOOKUP(A82,Hoja2!A:C,3,FALSE),"0")</f>
        <v>0</v>
      </c>
      <c r="J82" s="13">
        <f>+D82-I82</f>
        <v>67</v>
      </c>
    </row>
    <row r="83" spans="1:10" x14ac:dyDescent="0.25">
      <c r="A83" s="10">
        <v>501697</v>
      </c>
      <c r="B83" s="6" t="s">
        <v>356</v>
      </c>
      <c r="C83" s="7">
        <v>-48</v>
      </c>
      <c r="D83" s="7">
        <v>0</v>
      </c>
      <c r="E83" s="8">
        <v>46281.464560185188</v>
      </c>
      <c r="F83" s="9">
        <v>46281</v>
      </c>
      <c r="G83" s="6" t="s">
        <v>42</v>
      </c>
      <c r="H83" s="12" t="s">
        <v>496</v>
      </c>
      <c r="I83" s="12" t="str">
        <f>IFERROR(VLOOKUP(A83,Hoja2!A:C,3,FALSE),"0")</f>
        <v>0</v>
      </c>
      <c r="J83" s="13">
        <f>+D83-I83</f>
        <v>0</v>
      </c>
    </row>
    <row r="84" spans="1:10" x14ac:dyDescent="0.25">
      <c r="A84" s="10">
        <v>501704</v>
      </c>
      <c r="B84" s="6" t="s">
        <v>41</v>
      </c>
      <c r="C84" s="7">
        <v>-16</v>
      </c>
      <c r="D84" s="7">
        <v>5800.8</v>
      </c>
      <c r="E84" s="8">
        <v>46295.310960648145</v>
      </c>
      <c r="F84" s="9">
        <v>46295</v>
      </c>
      <c r="G84" s="6" t="s">
        <v>42</v>
      </c>
      <c r="H84" s="12" t="s">
        <v>496</v>
      </c>
      <c r="I84" s="12" t="str">
        <f>IFERROR(VLOOKUP(A84,Hoja2!A:C,3,FALSE),"0")</f>
        <v>0</v>
      </c>
      <c r="J84" s="13">
        <f>+D84-I84</f>
        <v>5800.8</v>
      </c>
    </row>
    <row r="85" spans="1:10" x14ac:dyDescent="0.25">
      <c r="A85" s="10">
        <v>501745</v>
      </c>
      <c r="B85" s="6" t="s">
        <v>43</v>
      </c>
      <c r="C85" s="7">
        <v>-92</v>
      </c>
      <c r="D85" s="7">
        <v>66.900000000000006</v>
      </c>
      <c r="E85" s="8">
        <v>46288.075555555559</v>
      </c>
      <c r="F85" s="9">
        <v>46288</v>
      </c>
      <c r="G85" s="6" t="s">
        <v>42</v>
      </c>
      <c r="H85" s="12" t="s">
        <v>496</v>
      </c>
      <c r="I85" s="12" t="str">
        <f>IFERROR(VLOOKUP(A85,Hoja2!A:C,3,FALSE),"0")</f>
        <v>0</v>
      </c>
      <c r="J85" s="13">
        <f>+D85-I85</f>
        <v>66.900000000000006</v>
      </c>
    </row>
    <row r="86" spans="1:10" x14ac:dyDescent="0.25">
      <c r="A86" s="10">
        <v>501762</v>
      </c>
      <c r="B86" s="6" t="s">
        <v>44</v>
      </c>
      <c r="C86" s="7">
        <v>-738</v>
      </c>
      <c r="D86" s="7">
        <v>308.59999999999991</v>
      </c>
      <c r="E86" s="8">
        <v>46295.541064814817</v>
      </c>
      <c r="F86" s="9">
        <v>46295</v>
      </c>
      <c r="G86" s="6" t="s">
        <v>40</v>
      </c>
      <c r="H86" s="12" t="s">
        <v>496</v>
      </c>
      <c r="I86" s="12">
        <f>IFERROR(VLOOKUP(A86,Hoja2!A:C,3,FALSE),"0")</f>
        <v>522.20000000000005</v>
      </c>
      <c r="J86" s="13">
        <f>+D86-I86</f>
        <v>-213.60000000000014</v>
      </c>
    </row>
    <row r="87" spans="1:10" x14ac:dyDescent="0.25">
      <c r="A87" s="10">
        <v>502101</v>
      </c>
      <c r="B87" s="6" t="s">
        <v>45</v>
      </c>
      <c r="C87" s="7">
        <v>-12</v>
      </c>
      <c r="D87" s="7">
        <v>5066.3999999999996</v>
      </c>
      <c r="E87" s="8">
        <v>46295.759918981479</v>
      </c>
      <c r="F87" s="9">
        <v>46295</v>
      </c>
      <c r="G87" s="6" t="s">
        <v>42</v>
      </c>
      <c r="H87" s="12" t="s">
        <v>496</v>
      </c>
      <c r="I87" s="12" t="str">
        <f>IFERROR(VLOOKUP(A87,Hoja2!A:C,3,FALSE),"0")</f>
        <v>0</v>
      </c>
      <c r="J87" s="13">
        <f>+D87-I87</f>
        <v>5066.3999999999996</v>
      </c>
    </row>
    <row r="88" spans="1:10" x14ac:dyDescent="0.25">
      <c r="A88" s="10">
        <v>502102</v>
      </c>
      <c r="B88" s="6" t="s">
        <v>204</v>
      </c>
      <c r="C88" s="7">
        <v>0</v>
      </c>
      <c r="D88" s="7">
        <v>4990</v>
      </c>
      <c r="E88" s="8">
        <v>46295.090150462966</v>
      </c>
      <c r="F88" s="9">
        <v>46295</v>
      </c>
      <c r="G88" s="6" t="s">
        <v>42</v>
      </c>
      <c r="H88" s="12" t="s">
        <v>496</v>
      </c>
      <c r="I88" s="12" t="str">
        <f>IFERROR(VLOOKUP(A88,Hoja2!A:C,3,FALSE),"0")</f>
        <v>0</v>
      </c>
      <c r="J88" s="13">
        <f>+D88-I88</f>
        <v>4990</v>
      </c>
    </row>
    <row r="89" spans="1:10" x14ac:dyDescent="0.25">
      <c r="A89" s="10">
        <v>502106</v>
      </c>
      <c r="B89" s="6" t="s">
        <v>46</v>
      </c>
      <c r="C89" s="7">
        <v>0</v>
      </c>
      <c r="D89" s="7">
        <v>4982</v>
      </c>
      <c r="E89" s="8">
        <v>46295.10832175926</v>
      </c>
      <c r="F89" s="9">
        <v>46295</v>
      </c>
      <c r="G89" s="6" t="s">
        <v>40</v>
      </c>
      <c r="H89" s="12" t="s">
        <v>496</v>
      </c>
      <c r="I89" s="12" t="str">
        <f>IFERROR(VLOOKUP(A89,Hoja2!A:C,3,FALSE),"0")</f>
        <v>0</v>
      </c>
      <c r="J89" s="13">
        <f>+D89-I89</f>
        <v>4982</v>
      </c>
    </row>
    <row r="90" spans="1:10" x14ac:dyDescent="0.25">
      <c r="A90" s="10">
        <v>502108</v>
      </c>
      <c r="B90" s="6" t="s">
        <v>47</v>
      </c>
      <c r="C90" s="7">
        <v>0</v>
      </c>
      <c r="D90" s="7">
        <v>5049.2</v>
      </c>
      <c r="E90" s="8">
        <v>46295.310960648145</v>
      </c>
      <c r="F90" s="9">
        <v>46295</v>
      </c>
      <c r="G90" s="6" t="s">
        <v>42</v>
      </c>
      <c r="H90" s="12" t="s">
        <v>496</v>
      </c>
      <c r="I90" s="12" t="str">
        <f>IFERROR(VLOOKUP(A90,Hoja2!A:C,3,FALSE),"0")</f>
        <v>0</v>
      </c>
      <c r="J90" s="13">
        <f>+D90-I90</f>
        <v>5049.2</v>
      </c>
    </row>
    <row r="91" spans="1:10" x14ac:dyDescent="0.25">
      <c r="A91" s="10">
        <v>502109</v>
      </c>
      <c r="B91" s="6" t="s">
        <v>239</v>
      </c>
      <c r="C91" s="7">
        <v>0</v>
      </c>
      <c r="D91" s="7">
        <v>1947.2</v>
      </c>
      <c r="E91" s="8">
        <v>46295.169085648151</v>
      </c>
      <c r="F91" s="9">
        <v>46295</v>
      </c>
      <c r="G91" s="6" t="s">
        <v>42</v>
      </c>
      <c r="H91" s="12" t="s">
        <v>496</v>
      </c>
      <c r="I91" s="12" t="str">
        <f>IFERROR(VLOOKUP(A91,Hoja2!A:C,3,FALSE),"0")</f>
        <v>0</v>
      </c>
      <c r="J91" s="13">
        <f>+D91-I91</f>
        <v>1947.2</v>
      </c>
    </row>
    <row r="92" spans="1:10" x14ac:dyDescent="0.25">
      <c r="A92" s="10">
        <v>502119</v>
      </c>
      <c r="B92" s="6" t="s">
        <v>353</v>
      </c>
      <c r="C92" s="7">
        <v>0</v>
      </c>
      <c r="D92" s="7">
        <v>23.8</v>
      </c>
      <c r="E92" s="8">
        <v>46295.310960648145</v>
      </c>
      <c r="F92" s="9">
        <v>46295</v>
      </c>
      <c r="G92" s="6" t="s">
        <v>42</v>
      </c>
      <c r="H92" s="12" t="s">
        <v>496</v>
      </c>
      <c r="I92" s="12" t="str">
        <f>IFERROR(VLOOKUP(A92,Hoja2!A:C,3,FALSE),"0")</f>
        <v>0</v>
      </c>
      <c r="J92" s="13">
        <f>+D92-I92</f>
        <v>23.8</v>
      </c>
    </row>
    <row r="93" spans="1:10" x14ac:dyDescent="0.25">
      <c r="A93" s="10">
        <v>503304</v>
      </c>
      <c r="B93" s="6" t="s">
        <v>216</v>
      </c>
      <c r="C93" s="7">
        <v>-574</v>
      </c>
      <c r="D93" s="7">
        <v>5000</v>
      </c>
      <c r="E93" s="8">
        <v>46295.090150462966</v>
      </c>
      <c r="F93" s="9">
        <v>46295</v>
      </c>
      <c r="G93" s="6" t="s">
        <v>38</v>
      </c>
      <c r="H93" s="12" t="s">
        <v>496</v>
      </c>
      <c r="I93" s="12" t="str">
        <f>IFERROR(VLOOKUP(A93,Hoja2!A:C,3,FALSE),"0")</f>
        <v>0</v>
      </c>
      <c r="J93" s="13">
        <f>+D93-I93</f>
        <v>5000</v>
      </c>
    </row>
    <row r="94" spans="1:10" x14ac:dyDescent="0.25">
      <c r="A94" s="10">
        <v>503305</v>
      </c>
      <c r="B94" s="6" t="s">
        <v>205</v>
      </c>
      <c r="C94" s="7">
        <v>-1411</v>
      </c>
      <c r="D94" s="7">
        <v>389.803</v>
      </c>
      <c r="E94" s="8">
        <v>46290.420416666668</v>
      </c>
      <c r="F94" s="9">
        <v>46290</v>
      </c>
      <c r="G94" s="6" t="s">
        <v>38</v>
      </c>
      <c r="H94" s="12" t="s">
        <v>496</v>
      </c>
      <c r="I94" s="12" t="str">
        <f>IFERROR(VLOOKUP(A94,Hoja2!A:C,3,FALSE),"0")</f>
        <v>0</v>
      </c>
      <c r="J94" s="13">
        <f>+D94-I94</f>
        <v>389.803</v>
      </c>
    </row>
    <row r="95" spans="1:10" x14ac:dyDescent="0.25">
      <c r="A95" s="10">
        <v>503600</v>
      </c>
      <c r="B95" s="6" t="s">
        <v>352</v>
      </c>
      <c r="C95" s="7">
        <v>0</v>
      </c>
      <c r="D95" s="7">
        <v>0</v>
      </c>
      <c r="E95" s="8">
        <v>46266.778900462959</v>
      </c>
      <c r="F95" s="9">
        <v>46266</v>
      </c>
      <c r="G95" s="6" t="s">
        <v>220</v>
      </c>
      <c r="H95" s="12" t="s">
        <v>496</v>
      </c>
      <c r="I95" s="12" t="str">
        <f>IFERROR(VLOOKUP(A95,Hoja2!A:C,3,FALSE),"0")</f>
        <v>0</v>
      </c>
      <c r="J95" s="13">
        <f>+D95-I95</f>
        <v>0</v>
      </c>
    </row>
    <row r="96" spans="1:10" x14ac:dyDescent="0.25">
      <c r="A96" s="10">
        <v>503605</v>
      </c>
      <c r="B96" s="6" t="s">
        <v>219</v>
      </c>
      <c r="C96" s="7">
        <v>-138</v>
      </c>
      <c r="D96" s="7">
        <v>0</v>
      </c>
      <c r="E96" s="8">
        <v>46289.331782407404</v>
      </c>
      <c r="F96" s="9">
        <v>46289</v>
      </c>
      <c r="G96" s="6" t="s">
        <v>220</v>
      </c>
      <c r="H96" s="12" t="s">
        <v>496</v>
      </c>
      <c r="I96" s="12" t="str">
        <f>IFERROR(VLOOKUP(A96,Hoja2!A:C,3,FALSE),"0")</f>
        <v>0</v>
      </c>
      <c r="J96" s="13">
        <f>+D96-I96</f>
        <v>0</v>
      </c>
    </row>
    <row r="97" spans="1:10" x14ac:dyDescent="0.25">
      <c r="A97" s="10">
        <v>503624</v>
      </c>
      <c r="B97" s="6" t="s">
        <v>218</v>
      </c>
      <c r="C97" s="7">
        <v>0</v>
      </c>
      <c r="D97" s="7">
        <v>91.8</v>
      </c>
      <c r="E97" s="8">
        <v>46266.838807870372</v>
      </c>
      <c r="F97" s="9">
        <v>46266</v>
      </c>
      <c r="G97" s="6" t="s">
        <v>38</v>
      </c>
      <c r="H97" s="12" t="s">
        <v>496</v>
      </c>
      <c r="I97" s="12" t="str">
        <f>IFERROR(VLOOKUP(A97,Hoja2!A:C,3,FALSE),"0")</f>
        <v>0</v>
      </c>
      <c r="J97" s="13">
        <f>+D97-I97</f>
        <v>91.8</v>
      </c>
    </row>
    <row r="98" spans="1:10" x14ac:dyDescent="0.25">
      <c r="A98" s="10">
        <v>503632</v>
      </c>
      <c r="B98" s="6" t="s">
        <v>269</v>
      </c>
      <c r="C98" s="7">
        <v>-624</v>
      </c>
      <c r="D98" s="7">
        <v>206.697</v>
      </c>
      <c r="E98" s="8">
        <v>46288.075555555559</v>
      </c>
      <c r="F98" s="9">
        <v>46288</v>
      </c>
      <c r="G98" s="6" t="s">
        <v>220</v>
      </c>
      <c r="H98" s="12" t="s">
        <v>496</v>
      </c>
      <c r="I98" s="12" t="str">
        <f>IFERROR(VLOOKUP(A98,Hoja2!A:C,3,FALSE),"0")</f>
        <v>0</v>
      </c>
      <c r="J98" s="13">
        <f>+D98-I98</f>
        <v>206.697</v>
      </c>
    </row>
    <row r="99" spans="1:10" x14ac:dyDescent="0.25">
      <c r="A99" s="10">
        <v>503681</v>
      </c>
      <c r="B99" s="6" t="s">
        <v>223</v>
      </c>
      <c r="C99" s="7">
        <v>-10</v>
      </c>
      <c r="D99" s="7">
        <v>0</v>
      </c>
      <c r="E99" s="8">
        <v>46172.525775462964</v>
      </c>
      <c r="F99" s="9">
        <v>46172</v>
      </c>
      <c r="G99" s="6" t="s">
        <v>220</v>
      </c>
      <c r="H99" s="12" t="s">
        <v>496</v>
      </c>
      <c r="I99" s="12" t="str">
        <f>IFERROR(VLOOKUP(A99,Hoja2!A:C,3,FALSE),"0")</f>
        <v>0</v>
      </c>
      <c r="J99" s="13">
        <f>+D99-I99</f>
        <v>0</v>
      </c>
    </row>
    <row r="100" spans="1:10" x14ac:dyDescent="0.25">
      <c r="A100" s="10">
        <v>503709</v>
      </c>
      <c r="B100" s="6" t="s">
        <v>371</v>
      </c>
      <c r="C100" s="7">
        <v>-5</v>
      </c>
      <c r="D100" s="7">
        <v>0</v>
      </c>
      <c r="E100" s="8">
        <v>46247.483969907407</v>
      </c>
      <c r="F100" s="9">
        <v>46247</v>
      </c>
      <c r="G100" s="6" t="s">
        <v>220</v>
      </c>
      <c r="H100" s="12" t="s">
        <v>496</v>
      </c>
      <c r="I100" s="12" t="str">
        <f>IFERROR(VLOOKUP(A100,Hoja2!A:C,3,FALSE),"0")</f>
        <v>0</v>
      </c>
      <c r="J100" s="13">
        <f>+D100-I100</f>
        <v>0</v>
      </c>
    </row>
    <row r="101" spans="1:10" x14ac:dyDescent="0.25">
      <c r="A101" s="10">
        <v>503710</v>
      </c>
      <c r="B101" s="6" t="s">
        <v>48</v>
      </c>
      <c r="C101" s="7">
        <v>-50</v>
      </c>
      <c r="D101" s="7">
        <v>4.8000000000000007</v>
      </c>
      <c r="E101" s="8">
        <v>46295.541064814817</v>
      </c>
      <c r="F101" s="9">
        <v>46295</v>
      </c>
      <c r="G101" s="6" t="s">
        <v>49</v>
      </c>
      <c r="H101" s="12" t="s">
        <v>496</v>
      </c>
      <c r="I101" s="12">
        <f>IFERROR(VLOOKUP(A101,Hoja2!A:C,3,FALSE),"0")</f>
        <v>11.2</v>
      </c>
      <c r="J101" s="13">
        <f>+D101-I101</f>
        <v>-6.3999999999999986</v>
      </c>
    </row>
    <row r="102" spans="1:10" x14ac:dyDescent="0.25">
      <c r="A102" s="10">
        <v>503711</v>
      </c>
      <c r="B102" s="6" t="s">
        <v>50</v>
      </c>
      <c r="C102" s="7">
        <v>-36</v>
      </c>
      <c r="D102" s="7">
        <v>0</v>
      </c>
      <c r="E102" s="8">
        <v>46239.412476851852</v>
      </c>
      <c r="F102" s="9">
        <v>46239</v>
      </c>
      <c r="G102" s="6" t="s">
        <v>49</v>
      </c>
      <c r="H102" s="12" t="s">
        <v>496</v>
      </c>
      <c r="I102" s="12" t="str">
        <f>IFERROR(VLOOKUP(A102,Hoja2!A:C,3,FALSE),"0")</f>
        <v>0</v>
      </c>
      <c r="J102" s="13">
        <f>+D102-I102</f>
        <v>0</v>
      </c>
    </row>
    <row r="103" spans="1:10" x14ac:dyDescent="0.25">
      <c r="A103" s="10">
        <v>503903</v>
      </c>
      <c r="B103" s="6" t="s">
        <v>221</v>
      </c>
      <c r="C103" s="7">
        <v>-45</v>
      </c>
      <c r="D103" s="7">
        <v>0</v>
      </c>
      <c r="E103" s="8">
        <v>46289.331782407404</v>
      </c>
      <c r="F103" s="9">
        <v>46289</v>
      </c>
      <c r="G103" s="6" t="s">
        <v>220</v>
      </c>
      <c r="H103" s="12" t="s">
        <v>496</v>
      </c>
      <c r="I103" s="12" t="str">
        <f>IFERROR(VLOOKUP(A103,Hoja2!A:C,3,FALSE),"0")</f>
        <v>0</v>
      </c>
      <c r="J103" s="13">
        <f>+D103-I103</f>
        <v>0</v>
      </c>
    </row>
    <row r="104" spans="1:10" x14ac:dyDescent="0.25">
      <c r="A104" s="10">
        <v>503906</v>
      </c>
      <c r="B104" s="6" t="s">
        <v>222</v>
      </c>
      <c r="C104" s="7">
        <v>-71</v>
      </c>
      <c r="D104" s="7">
        <v>0</v>
      </c>
      <c r="E104" s="8">
        <v>46289.331782407404</v>
      </c>
      <c r="F104" s="9">
        <v>46289</v>
      </c>
      <c r="G104" s="6" t="s">
        <v>220</v>
      </c>
      <c r="H104" s="12" t="s">
        <v>496</v>
      </c>
      <c r="I104" s="12" t="str">
        <f>IFERROR(VLOOKUP(A104,Hoja2!A:C,3,FALSE),"0")</f>
        <v>0</v>
      </c>
      <c r="J104" s="13">
        <f>+D104-I104</f>
        <v>0</v>
      </c>
    </row>
    <row r="105" spans="1:10" x14ac:dyDescent="0.25">
      <c r="A105" s="10">
        <v>503962</v>
      </c>
      <c r="B105" s="6" t="s">
        <v>51</v>
      </c>
      <c r="C105" s="7">
        <v>0</v>
      </c>
      <c r="D105" s="7">
        <v>0</v>
      </c>
      <c r="E105" s="8">
        <v>46295.541064814817</v>
      </c>
      <c r="F105" s="9">
        <v>46295</v>
      </c>
      <c r="G105" s="6" t="s">
        <v>49</v>
      </c>
      <c r="H105" s="12" t="s">
        <v>496</v>
      </c>
      <c r="I105" s="12">
        <f>IFERROR(VLOOKUP(A105,Hoja2!A:C,3,FALSE),"0")</f>
        <v>15.4</v>
      </c>
      <c r="J105" s="13">
        <f>+D105-I105</f>
        <v>-15.4</v>
      </c>
    </row>
    <row r="106" spans="1:10" x14ac:dyDescent="0.25">
      <c r="A106" s="10">
        <v>504800</v>
      </c>
      <c r="B106" s="6" t="s">
        <v>52</v>
      </c>
      <c r="C106" s="7">
        <v>26</v>
      </c>
      <c r="D106" s="7">
        <v>27</v>
      </c>
      <c r="E106" s="8">
        <v>46295.541064814817</v>
      </c>
      <c r="F106" s="9">
        <v>46295</v>
      </c>
      <c r="G106" s="6" t="s">
        <v>53</v>
      </c>
      <c r="H106" s="12" t="s">
        <v>496</v>
      </c>
      <c r="I106" s="12">
        <f>IFERROR(VLOOKUP(A106,Hoja2!A:C,3,FALSE),"0")</f>
        <v>40</v>
      </c>
      <c r="J106" s="13">
        <f>+D106-I106</f>
        <v>-13</v>
      </c>
    </row>
    <row r="107" spans="1:10" x14ac:dyDescent="0.25">
      <c r="A107" s="10">
        <v>504803</v>
      </c>
      <c r="B107" s="6" t="s">
        <v>270</v>
      </c>
      <c r="C107" s="7">
        <v>26</v>
      </c>
      <c r="D107" s="7">
        <v>27</v>
      </c>
      <c r="E107" s="8">
        <v>46295.541064814817</v>
      </c>
      <c r="F107" s="9">
        <v>46295</v>
      </c>
      <c r="G107" s="6" t="s">
        <v>53</v>
      </c>
      <c r="H107" s="12" t="s">
        <v>496</v>
      </c>
      <c r="I107" s="12">
        <f>IFERROR(VLOOKUP(A107,Hoja2!A:C,3,FALSE),"0")</f>
        <v>40</v>
      </c>
      <c r="J107" s="13">
        <f>+D107-I107</f>
        <v>-13</v>
      </c>
    </row>
    <row r="108" spans="1:10" x14ac:dyDescent="0.25">
      <c r="A108" s="10">
        <v>510001</v>
      </c>
      <c r="B108" s="6" t="s">
        <v>342</v>
      </c>
      <c r="C108" s="7">
        <v>-139</v>
      </c>
      <c r="D108" s="7">
        <v>0</v>
      </c>
      <c r="E108" s="8">
        <v>46288.075555555559</v>
      </c>
      <c r="F108" s="9">
        <v>46288</v>
      </c>
      <c r="G108" s="6" t="s">
        <v>55</v>
      </c>
      <c r="H108" s="12" t="s">
        <v>496</v>
      </c>
      <c r="I108" s="12" t="str">
        <f>IFERROR(VLOOKUP(A108,Hoja2!A:C,3,FALSE),"0")</f>
        <v>0</v>
      </c>
      <c r="J108" s="13">
        <f>+D108-I108</f>
        <v>0</v>
      </c>
    </row>
    <row r="109" spans="1:10" x14ac:dyDescent="0.25">
      <c r="A109" s="10">
        <v>510002</v>
      </c>
      <c r="B109" s="6" t="s">
        <v>343</v>
      </c>
      <c r="C109" s="7">
        <v>-180</v>
      </c>
      <c r="D109" s="7">
        <v>0</v>
      </c>
      <c r="E109" s="8">
        <v>46288.075555555559</v>
      </c>
      <c r="F109" s="9">
        <v>46288</v>
      </c>
      <c r="G109" s="6" t="s">
        <v>55</v>
      </c>
      <c r="H109" s="12" t="s">
        <v>496</v>
      </c>
      <c r="I109" s="12" t="str">
        <f>IFERROR(VLOOKUP(A109,Hoja2!A:C,3,FALSE),"0")</f>
        <v>0</v>
      </c>
      <c r="J109" s="13">
        <f>+D109-I109</f>
        <v>0</v>
      </c>
    </row>
    <row r="110" spans="1:10" x14ac:dyDescent="0.25">
      <c r="A110" s="10">
        <v>510300</v>
      </c>
      <c r="B110" s="6" t="s">
        <v>224</v>
      </c>
      <c r="C110" s="7">
        <v>-246</v>
      </c>
      <c r="D110" s="7">
        <v>11.95</v>
      </c>
      <c r="E110" s="8">
        <v>46294.970300925925</v>
      </c>
      <c r="F110" s="9">
        <v>46294</v>
      </c>
      <c r="G110" s="6" t="s">
        <v>55</v>
      </c>
      <c r="H110" s="12" t="s">
        <v>496</v>
      </c>
      <c r="I110" s="12" t="str">
        <f>IFERROR(VLOOKUP(A110,Hoja2!A:C,3,FALSE),"0")</f>
        <v>0</v>
      </c>
      <c r="J110" s="13">
        <f>+D110-I110</f>
        <v>11.95</v>
      </c>
    </row>
    <row r="111" spans="1:10" x14ac:dyDescent="0.25">
      <c r="A111" s="10">
        <v>510301</v>
      </c>
      <c r="B111" s="6" t="s">
        <v>54</v>
      </c>
      <c r="C111" s="7">
        <v>-97</v>
      </c>
      <c r="D111" s="7">
        <v>16.5</v>
      </c>
      <c r="E111" s="8">
        <v>46294.986701388887</v>
      </c>
      <c r="F111" s="9">
        <v>46294</v>
      </c>
      <c r="G111" s="6" t="s">
        <v>55</v>
      </c>
      <c r="H111" s="12" t="s">
        <v>496</v>
      </c>
      <c r="I111" s="12" t="str">
        <f>IFERROR(VLOOKUP(A111,Hoja2!A:C,3,FALSE),"0")</f>
        <v>0</v>
      </c>
      <c r="J111" s="13">
        <f>+D111-I111</f>
        <v>16.5</v>
      </c>
    </row>
    <row r="112" spans="1:10" x14ac:dyDescent="0.25">
      <c r="A112" s="10">
        <v>510302</v>
      </c>
      <c r="B112" s="6" t="s">
        <v>56</v>
      </c>
      <c r="C112" s="7">
        <v>-84</v>
      </c>
      <c r="D112" s="7">
        <v>0.65</v>
      </c>
      <c r="E112" s="8">
        <v>46268.539456018516</v>
      </c>
      <c r="F112" s="9">
        <v>46268</v>
      </c>
      <c r="G112" s="6" t="s">
        <v>55</v>
      </c>
      <c r="H112" s="12" t="s">
        <v>496</v>
      </c>
      <c r="I112" s="12" t="str">
        <f>IFERROR(VLOOKUP(A112,Hoja2!A:C,3,FALSE),"0")</f>
        <v>0</v>
      </c>
      <c r="J112" s="13">
        <f>+D112-I112</f>
        <v>0.65</v>
      </c>
    </row>
    <row r="113" spans="1:10" x14ac:dyDescent="0.25">
      <c r="A113" s="10">
        <v>510304</v>
      </c>
      <c r="B113" s="6" t="s">
        <v>344</v>
      </c>
      <c r="C113" s="7">
        <v>-66</v>
      </c>
      <c r="D113" s="7">
        <v>8.6</v>
      </c>
      <c r="E113" s="8">
        <v>46266.767650462964</v>
      </c>
      <c r="F113" s="9">
        <v>46266</v>
      </c>
      <c r="G113" s="6" t="s">
        <v>55</v>
      </c>
      <c r="H113" s="12" t="s">
        <v>496</v>
      </c>
      <c r="I113" s="12" t="str">
        <f>IFERROR(VLOOKUP(A113,Hoja2!A:C,3,FALSE),"0")</f>
        <v>0</v>
      </c>
      <c r="J113" s="13">
        <f>+D113-I113</f>
        <v>8.6</v>
      </c>
    </row>
    <row r="114" spans="1:10" x14ac:dyDescent="0.25">
      <c r="A114" s="10">
        <v>510305</v>
      </c>
      <c r="B114" s="6" t="s">
        <v>57</v>
      </c>
      <c r="C114" s="7">
        <v>-155</v>
      </c>
      <c r="D114" s="7">
        <v>20.5</v>
      </c>
      <c r="E114" s="8">
        <v>46294.970300925925</v>
      </c>
      <c r="F114" s="9">
        <v>46294</v>
      </c>
      <c r="G114" s="6" t="s">
        <v>55</v>
      </c>
      <c r="H114" s="12" t="s">
        <v>496</v>
      </c>
      <c r="I114" s="12" t="str">
        <f>IFERROR(VLOOKUP(A114,Hoja2!A:C,3,FALSE),"0")</f>
        <v>0</v>
      </c>
      <c r="J114" s="13">
        <f>+D114-I114</f>
        <v>20.5</v>
      </c>
    </row>
    <row r="115" spans="1:10" x14ac:dyDescent="0.25">
      <c r="A115" s="10">
        <v>510306</v>
      </c>
      <c r="B115" s="6" t="s">
        <v>366</v>
      </c>
      <c r="C115" s="7">
        <v>-63</v>
      </c>
      <c r="D115" s="7">
        <v>8.1</v>
      </c>
      <c r="E115" s="8">
        <v>46281.473668981482</v>
      </c>
      <c r="F115" s="9">
        <v>46281</v>
      </c>
      <c r="G115" s="6" t="s">
        <v>55</v>
      </c>
      <c r="H115" s="12" t="s">
        <v>496</v>
      </c>
      <c r="I115" s="12" t="str">
        <f>IFERROR(VLOOKUP(A115,Hoja2!A:C,3,FALSE),"0")</f>
        <v>0</v>
      </c>
      <c r="J115" s="13">
        <f>+D115-I115</f>
        <v>8.1</v>
      </c>
    </row>
    <row r="116" spans="1:10" x14ac:dyDescent="0.25">
      <c r="A116" s="10">
        <v>510308</v>
      </c>
      <c r="B116" s="6" t="s">
        <v>58</v>
      </c>
      <c r="C116" s="7">
        <v>-8</v>
      </c>
      <c r="D116" s="7">
        <v>4.8600000000000003</v>
      </c>
      <c r="E116" s="8">
        <v>46295.541064814817</v>
      </c>
      <c r="F116" s="9">
        <v>46295</v>
      </c>
      <c r="G116" s="6" t="s">
        <v>53</v>
      </c>
      <c r="H116" s="12" t="s">
        <v>496</v>
      </c>
      <c r="I116" s="12">
        <f>IFERROR(VLOOKUP(A116,Hoja2!A:C,3,FALSE),"0")</f>
        <v>6.3</v>
      </c>
      <c r="J116" s="13">
        <f>+D116-I116</f>
        <v>-1.4399999999999995</v>
      </c>
    </row>
    <row r="117" spans="1:10" x14ac:dyDescent="0.25">
      <c r="A117" s="10">
        <v>510322</v>
      </c>
      <c r="B117" s="6" t="s">
        <v>304</v>
      </c>
      <c r="C117" s="7">
        <v>0</v>
      </c>
      <c r="D117" s="7">
        <v>2</v>
      </c>
      <c r="E117" s="8">
        <v>46288.075555555559</v>
      </c>
      <c r="F117" s="9">
        <v>46288</v>
      </c>
      <c r="G117" s="6" t="s">
        <v>53</v>
      </c>
      <c r="H117" s="12" t="s">
        <v>496</v>
      </c>
      <c r="I117" s="12" t="str">
        <f>IFERROR(VLOOKUP(A117,Hoja2!A:C,3,FALSE),"0")</f>
        <v>0</v>
      </c>
      <c r="J117" s="13">
        <f>+D117-I117</f>
        <v>2</v>
      </c>
    </row>
    <row r="118" spans="1:10" x14ac:dyDescent="0.25">
      <c r="A118" s="10">
        <v>510323</v>
      </c>
      <c r="B118" s="6" t="s">
        <v>345</v>
      </c>
      <c r="C118" s="7">
        <v>0</v>
      </c>
      <c r="D118" s="7">
        <v>10</v>
      </c>
      <c r="E118" s="8">
        <v>46288.075555555559</v>
      </c>
      <c r="F118" s="9">
        <v>46288</v>
      </c>
      <c r="G118" s="6" t="s">
        <v>53</v>
      </c>
      <c r="H118" s="12" t="s">
        <v>496</v>
      </c>
      <c r="I118" s="12" t="str">
        <f>IFERROR(VLOOKUP(A118,Hoja2!A:C,3,FALSE),"0")</f>
        <v>0</v>
      </c>
      <c r="J118" s="13">
        <f>+D118-I118</f>
        <v>10</v>
      </c>
    </row>
    <row r="119" spans="1:10" x14ac:dyDescent="0.25">
      <c r="A119" s="10">
        <v>510325</v>
      </c>
      <c r="B119" s="6" t="s">
        <v>346</v>
      </c>
      <c r="C119" s="7">
        <v>0</v>
      </c>
      <c r="D119" s="7">
        <v>0</v>
      </c>
      <c r="E119" s="8">
        <v>46288.075555555559</v>
      </c>
      <c r="F119" s="9">
        <v>46288</v>
      </c>
      <c r="G119" s="6" t="s">
        <v>53</v>
      </c>
      <c r="H119" s="12" t="s">
        <v>496</v>
      </c>
      <c r="I119" s="12" t="str">
        <f>IFERROR(VLOOKUP(A119,Hoja2!A:C,3,FALSE),"0")</f>
        <v>0</v>
      </c>
      <c r="J119" s="13">
        <f>+D119-I119</f>
        <v>0</v>
      </c>
    </row>
    <row r="120" spans="1:10" x14ac:dyDescent="0.25">
      <c r="A120" s="10">
        <v>510362</v>
      </c>
      <c r="B120" s="6" t="s">
        <v>225</v>
      </c>
      <c r="C120" s="7">
        <v>-51</v>
      </c>
      <c r="D120" s="7">
        <v>20.8</v>
      </c>
      <c r="E120" s="8">
        <v>46288.075555555559</v>
      </c>
      <c r="F120" s="9">
        <v>46288</v>
      </c>
      <c r="G120" s="6" t="s">
        <v>55</v>
      </c>
      <c r="H120" s="12" t="s">
        <v>496</v>
      </c>
      <c r="I120" s="12" t="str">
        <f>IFERROR(VLOOKUP(A120,Hoja2!A:C,3,FALSE),"0")</f>
        <v>0</v>
      </c>
      <c r="J120" s="13">
        <f>+D120-I120</f>
        <v>20.8</v>
      </c>
    </row>
    <row r="121" spans="1:10" x14ac:dyDescent="0.25">
      <c r="A121" s="10">
        <v>511221</v>
      </c>
      <c r="B121" s="6" t="s">
        <v>59</v>
      </c>
      <c r="C121" s="7">
        <v>-33</v>
      </c>
      <c r="D121" s="7">
        <v>11.8</v>
      </c>
      <c r="E121" s="8">
        <v>46268.539456018516</v>
      </c>
      <c r="F121" s="9">
        <v>46268</v>
      </c>
      <c r="G121" s="6" t="s">
        <v>60</v>
      </c>
      <c r="H121" s="12" t="s">
        <v>496</v>
      </c>
      <c r="I121" s="12" t="str">
        <f>IFERROR(VLOOKUP(A121,Hoja2!A:C,3,FALSE),"0")</f>
        <v>0</v>
      </c>
      <c r="J121" s="13">
        <f>+D121-I121</f>
        <v>11.8</v>
      </c>
    </row>
    <row r="122" spans="1:10" x14ac:dyDescent="0.25">
      <c r="A122" s="10">
        <v>511223</v>
      </c>
      <c r="B122" s="6" t="s">
        <v>61</v>
      </c>
      <c r="C122" s="7">
        <v>-78</v>
      </c>
      <c r="D122" s="7">
        <v>0</v>
      </c>
      <c r="E122" s="8">
        <v>46275.515231481484</v>
      </c>
      <c r="F122" s="9">
        <v>46275</v>
      </c>
      <c r="G122" s="6" t="s">
        <v>49</v>
      </c>
      <c r="H122" s="12" t="s">
        <v>496</v>
      </c>
      <c r="I122" s="12" t="str">
        <f>IFERROR(VLOOKUP(A122,Hoja2!A:C,3,FALSE),"0")</f>
        <v>0</v>
      </c>
      <c r="J122" s="13">
        <f>+D122-I122</f>
        <v>0</v>
      </c>
    </row>
    <row r="123" spans="1:10" x14ac:dyDescent="0.25">
      <c r="A123" s="10">
        <v>511226</v>
      </c>
      <c r="B123" s="6" t="s">
        <v>275</v>
      </c>
      <c r="C123" s="7">
        <v>-201</v>
      </c>
      <c r="D123" s="7">
        <v>19.2</v>
      </c>
      <c r="E123" s="8">
        <v>46281.473668981482</v>
      </c>
      <c r="F123" s="9">
        <v>46281</v>
      </c>
      <c r="G123" s="6" t="s">
        <v>49</v>
      </c>
      <c r="H123" s="12" t="s">
        <v>496</v>
      </c>
      <c r="I123" s="12" t="str">
        <f>IFERROR(VLOOKUP(A123,Hoja2!A:C,3,FALSE),"0")</f>
        <v>0</v>
      </c>
      <c r="J123" s="13">
        <f>+D123-I123</f>
        <v>19.2</v>
      </c>
    </row>
    <row r="124" spans="1:10" x14ac:dyDescent="0.25">
      <c r="A124" s="10">
        <v>511227</v>
      </c>
      <c r="B124" s="6" t="s">
        <v>62</v>
      </c>
      <c r="C124" s="7">
        <v>-113</v>
      </c>
      <c r="D124" s="7">
        <v>25.9</v>
      </c>
      <c r="E124" s="8">
        <v>46275.515231481484</v>
      </c>
      <c r="F124" s="9">
        <v>46275</v>
      </c>
      <c r="G124" s="6" t="s">
        <v>49</v>
      </c>
      <c r="H124" s="12" t="s">
        <v>496</v>
      </c>
      <c r="I124" s="12" t="str">
        <f>IFERROR(VLOOKUP(A124,Hoja2!A:C,3,FALSE),"0")</f>
        <v>0</v>
      </c>
      <c r="J124" s="13">
        <f>+D124-I124</f>
        <v>25.9</v>
      </c>
    </row>
    <row r="125" spans="1:10" x14ac:dyDescent="0.25">
      <c r="A125" s="10">
        <v>511228</v>
      </c>
      <c r="B125" s="6" t="s">
        <v>63</v>
      </c>
      <c r="C125" s="7">
        <v>-100</v>
      </c>
      <c r="D125" s="7">
        <v>22.3</v>
      </c>
      <c r="E125" s="8">
        <v>46268.539456018516</v>
      </c>
      <c r="F125" s="9">
        <v>46268</v>
      </c>
      <c r="G125" s="6" t="s">
        <v>49</v>
      </c>
      <c r="H125" s="12" t="s">
        <v>496</v>
      </c>
      <c r="I125" s="12" t="str">
        <f>IFERROR(VLOOKUP(A125,Hoja2!A:C,3,FALSE),"0")</f>
        <v>0</v>
      </c>
      <c r="J125" s="13">
        <f>+D125-I125</f>
        <v>22.3</v>
      </c>
    </row>
    <row r="126" spans="1:10" x14ac:dyDescent="0.25">
      <c r="A126" s="10">
        <v>511229</v>
      </c>
      <c r="B126" s="6" t="s">
        <v>64</v>
      </c>
      <c r="C126" s="7">
        <v>-175</v>
      </c>
      <c r="D126" s="7">
        <v>31.05</v>
      </c>
      <c r="E126" s="8">
        <v>46253.601724537039</v>
      </c>
      <c r="F126" s="9">
        <v>46253</v>
      </c>
      <c r="G126" s="6" t="s">
        <v>49</v>
      </c>
      <c r="H126" s="12" t="s">
        <v>496</v>
      </c>
      <c r="I126" s="12" t="str">
        <f>IFERROR(VLOOKUP(A126,Hoja2!A:C,3,FALSE),"0")</f>
        <v>0</v>
      </c>
      <c r="J126" s="13">
        <f>+D126-I126</f>
        <v>31.05</v>
      </c>
    </row>
    <row r="127" spans="1:10" x14ac:dyDescent="0.25">
      <c r="A127" s="10">
        <v>511254</v>
      </c>
      <c r="B127" s="6" t="s">
        <v>65</v>
      </c>
      <c r="C127" s="7">
        <v>-122</v>
      </c>
      <c r="D127" s="7">
        <v>3.2999999999999972</v>
      </c>
      <c r="E127" s="8">
        <v>46295.541064814817</v>
      </c>
      <c r="F127" s="9">
        <v>46295</v>
      </c>
      <c r="G127" s="6" t="s">
        <v>49</v>
      </c>
      <c r="H127" s="12" t="s">
        <v>496</v>
      </c>
      <c r="I127" s="12">
        <f>IFERROR(VLOOKUP(A127,Hoja2!A:C,3,FALSE),"0")</f>
        <v>18.100000000000001</v>
      </c>
      <c r="J127" s="13">
        <f>+D127-I127</f>
        <v>-14.800000000000004</v>
      </c>
    </row>
    <row r="128" spans="1:10" x14ac:dyDescent="0.25">
      <c r="A128" s="10">
        <v>512349</v>
      </c>
      <c r="B128" s="6" t="s">
        <v>276</v>
      </c>
      <c r="C128" s="7">
        <v>-1862</v>
      </c>
      <c r="D128" s="7">
        <v>134.64999999999998</v>
      </c>
      <c r="E128" s="8">
        <v>46295.541064814817</v>
      </c>
      <c r="F128" s="9">
        <v>46295</v>
      </c>
      <c r="G128" s="6" t="s">
        <v>49</v>
      </c>
      <c r="H128" s="12" t="s">
        <v>496</v>
      </c>
      <c r="I128" s="12">
        <f>IFERROR(VLOOKUP(A128,Hoja2!A:C,3,FALSE),"0")</f>
        <v>65.8</v>
      </c>
      <c r="J128" s="13">
        <f>+D128-I128</f>
        <v>68.84999999999998</v>
      </c>
    </row>
    <row r="129" spans="1:10" x14ac:dyDescent="0.25">
      <c r="A129" s="10">
        <v>512364</v>
      </c>
      <c r="B129" s="6" t="s">
        <v>66</v>
      </c>
      <c r="C129" s="7">
        <v>-65</v>
      </c>
      <c r="D129" s="7">
        <v>17.600000000000001</v>
      </c>
      <c r="E129" s="8">
        <v>46288.346388888887</v>
      </c>
      <c r="F129" s="9">
        <v>46288</v>
      </c>
      <c r="G129" s="6" t="s">
        <v>49</v>
      </c>
      <c r="H129" s="12" t="s">
        <v>496</v>
      </c>
      <c r="I129" s="12" t="str">
        <f>IFERROR(VLOOKUP(A129,Hoja2!A:C,3,FALSE),"0")</f>
        <v>0</v>
      </c>
      <c r="J129" s="13">
        <f>+D129-I129</f>
        <v>17.600000000000001</v>
      </c>
    </row>
    <row r="130" spans="1:10" x14ac:dyDescent="0.25">
      <c r="A130" s="10">
        <v>512368</v>
      </c>
      <c r="B130" s="6" t="s">
        <v>67</v>
      </c>
      <c r="C130" s="7">
        <v>-42</v>
      </c>
      <c r="D130" s="7">
        <v>13.85</v>
      </c>
      <c r="E130" s="8">
        <v>46266.778900462959</v>
      </c>
      <c r="F130" s="9">
        <v>46266</v>
      </c>
      <c r="G130" s="6" t="s">
        <v>49</v>
      </c>
      <c r="H130" s="12" t="s">
        <v>496</v>
      </c>
      <c r="I130" s="12" t="str">
        <f>IFERROR(VLOOKUP(A130,Hoja2!A:C,3,FALSE),"0")</f>
        <v>0</v>
      </c>
      <c r="J130" s="13">
        <f>+D130-I130</f>
        <v>13.85</v>
      </c>
    </row>
    <row r="131" spans="1:10" x14ac:dyDescent="0.25">
      <c r="A131" s="10">
        <v>512385</v>
      </c>
      <c r="B131" s="6" t="s">
        <v>310</v>
      </c>
      <c r="C131" s="7">
        <v>-13</v>
      </c>
      <c r="D131" s="7">
        <v>15.35</v>
      </c>
      <c r="E131" s="8">
        <v>46205.430636574078</v>
      </c>
      <c r="F131" s="9">
        <v>46205</v>
      </c>
      <c r="G131" s="6" t="s">
        <v>220</v>
      </c>
      <c r="H131" s="12" t="s">
        <v>496</v>
      </c>
      <c r="I131" s="12" t="str">
        <f>IFERROR(VLOOKUP(A131,Hoja2!A:C,3,FALSE),"0")</f>
        <v>0</v>
      </c>
      <c r="J131" s="13">
        <f>+D131-I131</f>
        <v>15.35</v>
      </c>
    </row>
    <row r="132" spans="1:10" x14ac:dyDescent="0.25">
      <c r="A132" s="10">
        <v>512395</v>
      </c>
      <c r="B132" s="6" t="s">
        <v>68</v>
      </c>
      <c r="C132" s="7">
        <v>-38</v>
      </c>
      <c r="D132" s="7">
        <v>7.75</v>
      </c>
      <c r="E132" s="8">
        <v>46225.565937500003</v>
      </c>
      <c r="F132" s="9">
        <v>46225</v>
      </c>
      <c r="G132" s="6" t="s">
        <v>49</v>
      </c>
      <c r="H132" s="12" t="s">
        <v>496</v>
      </c>
      <c r="I132" s="12" t="str">
        <f>IFERROR(VLOOKUP(A132,Hoja2!A:C,3,FALSE),"0")</f>
        <v>0</v>
      </c>
      <c r="J132" s="13">
        <f>+D132-I132</f>
        <v>7.75</v>
      </c>
    </row>
    <row r="133" spans="1:10" x14ac:dyDescent="0.25">
      <c r="A133" s="10">
        <v>520000</v>
      </c>
      <c r="B133" s="6" t="s">
        <v>305</v>
      </c>
      <c r="C133" s="7">
        <v>-47</v>
      </c>
      <c r="D133" s="7">
        <v>45.05</v>
      </c>
      <c r="E133" s="8">
        <v>46288.346388888887</v>
      </c>
      <c r="F133" s="9">
        <v>46288</v>
      </c>
      <c r="G133" s="6" t="s">
        <v>70</v>
      </c>
      <c r="H133" s="12" t="s">
        <v>496</v>
      </c>
      <c r="I133" s="12" t="str">
        <f>IFERROR(VLOOKUP(A133,Hoja2!A:C,3,FALSE),"0")</f>
        <v>0</v>
      </c>
      <c r="J133" s="13">
        <f>+D133-I133</f>
        <v>45.05</v>
      </c>
    </row>
    <row r="134" spans="1:10" x14ac:dyDescent="0.25">
      <c r="A134" s="10">
        <v>520001</v>
      </c>
      <c r="B134" s="6" t="s">
        <v>69</v>
      </c>
      <c r="C134" s="7">
        <v>-22</v>
      </c>
      <c r="D134" s="7">
        <v>4.45</v>
      </c>
      <c r="E134" s="8">
        <v>46275.515231481484</v>
      </c>
      <c r="F134" s="9">
        <v>46275</v>
      </c>
      <c r="G134" s="6" t="s">
        <v>70</v>
      </c>
      <c r="H134" s="12" t="s">
        <v>496</v>
      </c>
      <c r="I134" s="12" t="str">
        <f>IFERROR(VLOOKUP(A134,Hoja2!A:C,3,FALSE),"0")</f>
        <v>0</v>
      </c>
      <c r="J134" s="13">
        <f>+D134-I134</f>
        <v>4.45</v>
      </c>
    </row>
    <row r="135" spans="1:10" x14ac:dyDescent="0.25">
      <c r="A135" s="10">
        <v>520005</v>
      </c>
      <c r="B135" s="6" t="s">
        <v>212</v>
      </c>
      <c r="C135" s="7">
        <v>-325</v>
      </c>
      <c r="D135" s="7">
        <v>72.849999999999994</v>
      </c>
      <c r="E135" s="8">
        <v>46288.346388888887</v>
      </c>
      <c r="F135" s="9">
        <v>46288</v>
      </c>
      <c r="G135" s="6" t="s">
        <v>70</v>
      </c>
      <c r="H135" s="12" t="s">
        <v>496</v>
      </c>
      <c r="I135" s="12" t="str">
        <f>IFERROR(VLOOKUP(A135,Hoja2!A:C,3,FALSE),"0")</f>
        <v>0</v>
      </c>
      <c r="J135" s="13">
        <f>+D135-I135</f>
        <v>72.849999999999994</v>
      </c>
    </row>
    <row r="136" spans="1:10" x14ac:dyDescent="0.25">
      <c r="A136" s="10">
        <v>520006</v>
      </c>
      <c r="B136" s="6" t="s">
        <v>213</v>
      </c>
      <c r="C136" s="7">
        <v>-67</v>
      </c>
      <c r="D136" s="7">
        <v>48.7</v>
      </c>
      <c r="E136" s="8">
        <v>46275.515231481484</v>
      </c>
      <c r="F136" s="9">
        <v>46275</v>
      </c>
      <c r="G136" s="6" t="s">
        <v>77</v>
      </c>
      <c r="H136" s="12" t="s">
        <v>496</v>
      </c>
      <c r="I136" s="12" t="str">
        <f>IFERROR(VLOOKUP(A136,Hoja2!A:C,3,FALSE),"0")</f>
        <v>0</v>
      </c>
      <c r="J136" s="13">
        <f>+D136-I136</f>
        <v>48.7</v>
      </c>
    </row>
    <row r="137" spans="1:10" x14ac:dyDescent="0.25">
      <c r="A137" s="10">
        <v>520303</v>
      </c>
      <c r="B137" s="6" t="s">
        <v>71</v>
      </c>
      <c r="C137" s="7">
        <v>74</v>
      </c>
      <c r="D137" s="7">
        <v>9</v>
      </c>
      <c r="E137" s="8">
        <v>46295.541064814817</v>
      </c>
      <c r="F137" s="9">
        <v>46295</v>
      </c>
      <c r="G137" s="6" t="s">
        <v>70</v>
      </c>
      <c r="H137" s="12" t="s">
        <v>496</v>
      </c>
      <c r="I137" s="12">
        <f>IFERROR(VLOOKUP(A137,Hoja2!A:C,3,FALSE),"0")</f>
        <v>210</v>
      </c>
      <c r="J137" s="13">
        <f>+D137-I137</f>
        <v>-201</v>
      </c>
    </row>
    <row r="138" spans="1:10" x14ac:dyDescent="0.25">
      <c r="A138" s="10">
        <v>521511</v>
      </c>
      <c r="B138" s="6" t="s">
        <v>332</v>
      </c>
      <c r="C138" s="7">
        <v>-10</v>
      </c>
      <c r="D138" s="7">
        <v>0</v>
      </c>
      <c r="E138" s="8">
        <v>46275.515231481484</v>
      </c>
      <c r="F138" s="9">
        <v>46275</v>
      </c>
      <c r="G138" s="6" t="s">
        <v>73</v>
      </c>
      <c r="H138" s="12" t="s">
        <v>496</v>
      </c>
      <c r="I138" s="12" t="str">
        <f>IFERROR(VLOOKUP(A138,Hoja2!A:C,3,FALSE),"0")</f>
        <v>0</v>
      </c>
      <c r="J138" s="13">
        <f>+D138-I138</f>
        <v>0</v>
      </c>
    </row>
    <row r="139" spans="1:10" x14ac:dyDescent="0.25">
      <c r="A139" s="10">
        <v>521516</v>
      </c>
      <c r="B139" s="6" t="s">
        <v>329</v>
      </c>
      <c r="C139" s="7">
        <v>-37</v>
      </c>
      <c r="D139" s="7">
        <v>0</v>
      </c>
      <c r="E139" s="8">
        <v>46281.475590277776</v>
      </c>
      <c r="F139" s="9">
        <v>46281</v>
      </c>
      <c r="G139" s="6" t="s">
        <v>73</v>
      </c>
      <c r="H139" s="12" t="s">
        <v>496</v>
      </c>
      <c r="I139" s="12" t="str">
        <f>IFERROR(VLOOKUP(A139,Hoja2!A:C,3,FALSE),"0")</f>
        <v>0</v>
      </c>
      <c r="J139" s="13">
        <f>+D139-I139</f>
        <v>0</v>
      </c>
    </row>
    <row r="140" spans="1:10" x14ac:dyDescent="0.25">
      <c r="A140" s="10">
        <v>521527</v>
      </c>
      <c r="B140" s="6" t="s">
        <v>330</v>
      </c>
      <c r="C140" s="7">
        <v>-143</v>
      </c>
      <c r="D140" s="7">
        <v>31.150000000000006</v>
      </c>
      <c r="E140" s="8">
        <v>46295.541064814817</v>
      </c>
      <c r="F140" s="9">
        <v>46295</v>
      </c>
      <c r="G140" s="6" t="s">
        <v>73</v>
      </c>
      <c r="H140" s="12" t="s">
        <v>496</v>
      </c>
      <c r="I140" s="12">
        <f>IFERROR(VLOOKUP(A140,Hoja2!A:C,3,FALSE),"0")</f>
        <v>53.5</v>
      </c>
      <c r="J140" s="13">
        <f>+D140-I140</f>
        <v>-22.349999999999994</v>
      </c>
    </row>
    <row r="141" spans="1:10" x14ac:dyDescent="0.25">
      <c r="A141" s="10">
        <v>521802</v>
      </c>
      <c r="B141" s="6" t="s">
        <v>209</v>
      </c>
      <c r="C141" s="7">
        <v>-1547</v>
      </c>
      <c r="D141" s="7">
        <v>22.700000000000003</v>
      </c>
      <c r="E141" s="8">
        <v>46295.522928240738</v>
      </c>
      <c r="F141" s="9">
        <v>46295</v>
      </c>
      <c r="G141" s="6" t="s">
        <v>73</v>
      </c>
      <c r="H141" s="12" t="s">
        <v>496</v>
      </c>
      <c r="I141" s="12">
        <f>IFERROR(VLOOKUP(A141,Hoja2!A:C,3,FALSE),"0")</f>
        <v>12</v>
      </c>
      <c r="J141" s="13">
        <f>+D141-I141</f>
        <v>10.700000000000003</v>
      </c>
    </row>
    <row r="142" spans="1:10" x14ac:dyDescent="0.25">
      <c r="A142" s="10">
        <v>521806</v>
      </c>
      <c r="B142" s="6" t="s">
        <v>72</v>
      </c>
      <c r="C142" s="7">
        <v>-163</v>
      </c>
      <c r="D142" s="7">
        <v>10.15</v>
      </c>
      <c r="E142" s="8">
        <v>46288.087581018517</v>
      </c>
      <c r="F142" s="9">
        <v>46288</v>
      </c>
      <c r="G142" s="6" t="s">
        <v>73</v>
      </c>
      <c r="H142" s="12" t="s">
        <v>496</v>
      </c>
      <c r="I142" s="12" t="str">
        <f>IFERROR(VLOOKUP(A142,Hoja2!A:C,3,FALSE),"0")</f>
        <v>0</v>
      </c>
      <c r="J142" s="13">
        <f>+D142-I142</f>
        <v>10.15</v>
      </c>
    </row>
    <row r="143" spans="1:10" x14ac:dyDescent="0.25">
      <c r="A143" s="10">
        <v>521817</v>
      </c>
      <c r="B143" s="6" t="s">
        <v>210</v>
      </c>
      <c r="C143" s="7">
        <v>-1598</v>
      </c>
      <c r="D143" s="7">
        <v>11.2</v>
      </c>
      <c r="E143" s="8">
        <v>46295.522928240738</v>
      </c>
      <c r="F143" s="9">
        <v>46295</v>
      </c>
      <c r="G143" s="6" t="s">
        <v>73</v>
      </c>
      <c r="H143" s="12" t="s">
        <v>496</v>
      </c>
      <c r="I143" s="12">
        <f>IFERROR(VLOOKUP(A143,Hoja2!A:C,3,FALSE),"0")</f>
        <v>27.2</v>
      </c>
      <c r="J143" s="13">
        <f>+D143-I143</f>
        <v>-16</v>
      </c>
    </row>
    <row r="144" spans="1:10" x14ac:dyDescent="0.25">
      <c r="A144" s="10">
        <v>521818</v>
      </c>
      <c r="B144" s="6" t="s">
        <v>208</v>
      </c>
      <c r="C144" s="7">
        <v>-159</v>
      </c>
      <c r="D144" s="7">
        <v>0</v>
      </c>
      <c r="E144" s="8">
        <v>46295.522928240738</v>
      </c>
      <c r="F144" s="9">
        <v>46295</v>
      </c>
      <c r="G144" s="6" t="s">
        <v>73</v>
      </c>
      <c r="H144" s="12" t="s">
        <v>496</v>
      </c>
      <c r="I144" s="12">
        <f>IFERROR(VLOOKUP(A144,Hoja2!A:C,3,FALSE),"0")</f>
        <v>7.3</v>
      </c>
      <c r="J144" s="13">
        <f>+D144-I144</f>
        <v>-7.3</v>
      </c>
    </row>
    <row r="145" spans="1:10" x14ac:dyDescent="0.25">
      <c r="A145" s="10">
        <v>523301</v>
      </c>
      <c r="B145" s="6" t="s">
        <v>389</v>
      </c>
      <c r="C145" s="7">
        <v>-14</v>
      </c>
      <c r="D145" s="7">
        <v>0.15</v>
      </c>
      <c r="E145" s="8">
        <v>46268.399155092593</v>
      </c>
      <c r="F145" s="9">
        <v>46268</v>
      </c>
      <c r="G145" s="6" t="s">
        <v>75</v>
      </c>
      <c r="H145" s="12" t="s">
        <v>496</v>
      </c>
      <c r="I145" s="12" t="str">
        <f>IFERROR(VLOOKUP(A145,Hoja2!A:C,3,FALSE),"0")</f>
        <v>0</v>
      </c>
      <c r="J145" s="13">
        <f>+D145-I145</f>
        <v>0.15</v>
      </c>
    </row>
    <row r="146" spans="1:10" x14ac:dyDescent="0.25">
      <c r="A146" s="10">
        <v>523302</v>
      </c>
      <c r="B146" s="6" t="s">
        <v>390</v>
      </c>
      <c r="C146" s="7">
        <v>-10</v>
      </c>
      <c r="D146" s="7">
        <v>1.4</v>
      </c>
      <c r="E146" s="8">
        <v>46268.399155092593</v>
      </c>
      <c r="F146" s="9">
        <v>46268</v>
      </c>
      <c r="G146" s="6" t="s">
        <v>75</v>
      </c>
      <c r="H146" s="12" t="s">
        <v>496</v>
      </c>
      <c r="I146" s="12" t="str">
        <f>IFERROR(VLOOKUP(A146,Hoja2!A:C,3,FALSE),"0")</f>
        <v>0</v>
      </c>
      <c r="J146" s="13">
        <f>+D146-I146</f>
        <v>1.4</v>
      </c>
    </row>
    <row r="147" spans="1:10" x14ac:dyDescent="0.25">
      <c r="A147" s="10">
        <v>523305</v>
      </c>
      <c r="B147" s="6" t="s">
        <v>74</v>
      </c>
      <c r="C147" s="7">
        <v>0</v>
      </c>
      <c r="D147" s="7">
        <v>132</v>
      </c>
      <c r="E147" s="8">
        <v>46281.475590277776</v>
      </c>
      <c r="F147" s="9">
        <v>46281</v>
      </c>
      <c r="G147" s="6" t="s">
        <v>75</v>
      </c>
      <c r="H147" s="12" t="s">
        <v>496</v>
      </c>
      <c r="I147" s="12" t="str">
        <f>IFERROR(VLOOKUP(A147,Hoja2!A:C,3,FALSE),"0")</f>
        <v>0</v>
      </c>
      <c r="J147" s="13">
        <f>+D147-I147</f>
        <v>132</v>
      </c>
    </row>
    <row r="148" spans="1:10" x14ac:dyDescent="0.25">
      <c r="A148" s="10">
        <v>530005</v>
      </c>
      <c r="B148" s="6" t="s">
        <v>76</v>
      </c>
      <c r="C148" s="7">
        <v>0</v>
      </c>
      <c r="D148" s="7">
        <v>15</v>
      </c>
      <c r="E148" s="8">
        <v>46275.527384259258</v>
      </c>
      <c r="F148" s="9">
        <v>46275</v>
      </c>
      <c r="G148" s="6" t="s">
        <v>77</v>
      </c>
      <c r="H148" s="12" t="s">
        <v>496</v>
      </c>
      <c r="I148" s="12" t="str">
        <f>IFERROR(VLOOKUP(A148,Hoja2!A:C,3,FALSE),"0")</f>
        <v>0</v>
      </c>
      <c r="J148" s="13">
        <f>+D148-I148</f>
        <v>15</v>
      </c>
    </row>
    <row r="149" spans="1:10" x14ac:dyDescent="0.25">
      <c r="A149" s="10">
        <v>530018</v>
      </c>
      <c r="B149" s="6" t="s">
        <v>78</v>
      </c>
      <c r="C149" s="7">
        <v>-525</v>
      </c>
      <c r="D149" s="7">
        <v>448.35</v>
      </c>
      <c r="E149" s="8">
        <v>46295.27380787037</v>
      </c>
      <c r="F149" s="9">
        <v>46295</v>
      </c>
      <c r="G149" s="6" t="s">
        <v>77</v>
      </c>
      <c r="H149" s="12" t="s">
        <v>496</v>
      </c>
      <c r="I149" s="12" t="str">
        <f>IFERROR(VLOOKUP(A149,Hoja2!A:C,3,FALSE),"0")</f>
        <v>0</v>
      </c>
      <c r="J149" s="13">
        <f>+D149-I149</f>
        <v>448.35</v>
      </c>
    </row>
    <row r="150" spans="1:10" x14ac:dyDescent="0.25">
      <c r="A150" s="10">
        <v>530019</v>
      </c>
      <c r="B150" s="6" t="s">
        <v>79</v>
      </c>
      <c r="C150" s="7">
        <v>-594</v>
      </c>
      <c r="D150" s="7">
        <v>395.88</v>
      </c>
      <c r="E150" s="8">
        <v>46295.27380787037</v>
      </c>
      <c r="F150" s="9">
        <v>46295</v>
      </c>
      <c r="G150" s="6" t="s">
        <v>77</v>
      </c>
      <c r="H150" s="12" t="s">
        <v>496</v>
      </c>
      <c r="I150" s="12" t="str">
        <f>IFERROR(VLOOKUP(A150,Hoja2!A:C,3,FALSE),"0")</f>
        <v>0</v>
      </c>
      <c r="J150" s="13">
        <f>+D150-I150</f>
        <v>395.88</v>
      </c>
    </row>
    <row r="151" spans="1:10" x14ac:dyDescent="0.25">
      <c r="A151" s="10">
        <v>530020</v>
      </c>
      <c r="B151" s="6" t="s">
        <v>331</v>
      </c>
      <c r="C151" s="7">
        <v>-29</v>
      </c>
      <c r="D151" s="7">
        <v>22.75</v>
      </c>
      <c r="E151" s="8">
        <v>46281.475590277776</v>
      </c>
      <c r="F151" s="9">
        <v>46281</v>
      </c>
      <c r="G151" s="6" t="s">
        <v>77</v>
      </c>
      <c r="H151" s="12" t="s">
        <v>496</v>
      </c>
      <c r="I151" s="12" t="str">
        <f>IFERROR(VLOOKUP(A151,Hoja2!A:C,3,FALSE),"0")</f>
        <v>0</v>
      </c>
      <c r="J151" s="13">
        <f>+D151-I151</f>
        <v>22.75</v>
      </c>
    </row>
    <row r="152" spans="1:10" x14ac:dyDescent="0.25">
      <c r="A152" s="10">
        <v>530021</v>
      </c>
      <c r="B152" s="6" t="s">
        <v>328</v>
      </c>
      <c r="C152" s="7">
        <v>-19</v>
      </c>
      <c r="D152" s="7">
        <v>3.8000000000000007</v>
      </c>
      <c r="E152" s="8">
        <v>46295.522928240738</v>
      </c>
      <c r="F152" s="9">
        <v>46295</v>
      </c>
      <c r="G152" s="6" t="s">
        <v>77</v>
      </c>
      <c r="H152" s="12" t="s">
        <v>496</v>
      </c>
      <c r="I152" s="12">
        <f>IFERROR(VLOOKUP(A152,Hoja2!A:C,3,FALSE),"0")</f>
        <v>18</v>
      </c>
      <c r="J152" s="13">
        <f>+D152-I152</f>
        <v>-14.2</v>
      </c>
    </row>
    <row r="153" spans="1:10" x14ac:dyDescent="0.25">
      <c r="A153" s="10">
        <v>530023</v>
      </c>
      <c r="B153" s="6" t="s">
        <v>80</v>
      </c>
      <c r="C153" s="7">
        <v>191</v>
      </c>
      <c r="D153" s="7">
        <v>261</v>
      </c>
      <c r="E153" s="8">
        <v>46295.522928240738</v>
      </c>
      <c r="F153" s="9">
        <v>46295</v>
      </c>
      <c r="G153" s="6" t="s">
        <v>77</v>
      </c>
      <c r="H153" s="12" t="s">
        <v>496</v>
      </c>
      <c r="I153" s="12">
        <f>IFERROR(VLOOKUP(A153,Hoja2!A:C,3,FALSE),"0")</f>
        <v>100</v>
      </c>
      <c r="J153" s="13">
        <f>+D153-I153</f>
        <v>161</v>
      </c>
    </row>
    <row r="154" spans="1:10" x14ac:dyDescent="0.25">
      <c r="A154" s="10">
        <v>530024</v>
      </c>
      <c r="B154" s="6" t="s">
        <v>81</v>
      </c>
      <c r="C154" s="7">
        <v>181</v>
      </c>
      <c r="D154" s="7">
        <v>267</v>
      </c>
      <c r="E154" s="8">
        <v>46295.512731481482</v>
      </c>
      <c r="F154" s="9">
        <v>46295</v>
      </c>
      <c r="G154" s="6" t="s">
        <v>77</v>
      </c>
      <c r="H154" s="12" t="s">
        <v>496</v>
      </c>
      <c r="I154" s="12">
        <f>IFERROR(VLOOKUP(A154,Hoja2!A:C,3,FALSE),"0")</f>
        <v>200</v>
      </c>
      <c r="J154" s="13">
        <f>+D154-I154</f>
        <v>67</v>
      </c>
    </row>
    <row r="155" spans="1:10" x14ac:dyDescent="0.25">
      <c r="A155" s="10">
        <v>530025</v>
      </c>
      <c r="B155" s="6" t="s">
        <v>82</v>
      </c>
      <c r="C155" s="7">
        <v>374</v>
      </c>
      <c r="D155" s="7">
        <v>205</v>
      </c>
      <c r="E155" s="8">
        <v>46295.512731481482</v>
      </c>
      <c r="F155" s="9">
        <v>46295</v>
      </c>
      <c r="G155" s="6" t="s">
        <v>77</v>
      </c>
      <c r="H155" s="12" t="s">
        <v>496</v>
      </c>
      <c r="I155" s="12">
        <f>IFERROR(VLOOKUP(A155,Hoja2!A:C,3,FALSE),"0")</f>
        <v>240</v>
      </c>
      <c r="J155" s="13">
        <f>+D155-I155</f>
        <v>-35</v>
      </c>
    </row>
    <row r="156" spans="1:10" x14ac:dyDescent="0.25">
      <c r="A156" s="10">
        <v>530033</v>
      </c>
      <c r="B156" s="6" t="s">
        <v>373</v>
      </c>
      <c r="C156" s="7">
        <v>0</v>
      </c>
      <c r="D156" s="7">
        <v>0</v>
      </c>
      <c r="E156" s="8">
        <v>46295.512731481482</v>
      </c>
      <c r="F156" s="9">
        <v>46295</v>
      </c>
      <c r="G156" s="6" t="s">
        <v>77</v>
      </c>
      <c r="H156" s="12" t="s">
        <v>496</v>
      </c>
      <c r="I156" s="12">
        <f>IFERROR(VLOOKUP(A156,Hoja2!A:C,3,FALSE),"0")</f>
        <v>20</v>
      </c>
      <c r="J156" s="13">
        <f>+D156-I156</f>
        <v>-20</v>
      </c>
    </row>
    <row r="157" spans="1:10" x14ac:dyDescent="0.25">
      <c r="A157" s="10">
        <v>530039</v>
      </c>
      <c r="B157" s="6" t="s">
        <v>83</v>
      </c>
      <c r="C157" s="7">
        <v>0</v>
      </c>
      <c r="D157" s="7">
        <v>201</v>
      </c>
      <c r="E157" s="8">
        <v>46288.087581018517</v>
      </c>
      <c r="F157" s="9">
        <v>46288</v>
      </c>
      <c r="G157" s="6" t="s">
        <v>77</v>
      </c>
      <c r="H157" s="12" t="s">
        <v>496</v>
      </c>
      <c r="I157" s="12" t="str">
        <f>IFERROR(VLOOKUP(A157,Hoja2!A:C,3,FALSE),"0")</f>
        <v>0</v>
      </c>
      <c r="J157" s="13">
        <f>+D157-I157</f>
        <v>201</v>
      </c>
    </row>
    <row r="158" spans="1:10" x14ac:dyDescent="0.25">
      <c r="A158" s="10">
        <v>530058</v>
      </c>
      <c r="B158" s="6" t="s">
        <v>383</v>
      </c>
      <c r="C158" s="7">
        <v>-59</v>
      </c>
      <c r="D158" s="7">
        <v>172.5</v>
      </c>
      <c r="E158" s="8">
        <v>46281.511550925927</v>
      </c>
      <c r="F158" s="9">
        <v>46281</v>
      </c>
      <c r="G158" s="6" t="s">
        <v>77</v>
      </c>
      <c r="H158" s="12" t="s">
        <v>496</v>
      </c>
      <c r="I158" s="12" t="str">
        <f>IFERROR(VLOOKUP(A158,Hoja2!A:C,3,FALSE),"0")</f>
        <v>0</v>
      </c>
      <c r="J158" s="13">
        <f>+D158-I158</f>
        <v>172.5</v>
      </c>
    </row>
    <row r="159" spans="1:10" x14ac:dyDescent="0.25">
      <c r="A159" s="10">
        <v>530059</v>
      </c>
      <c r="B159" s="6" t="s">
        <v>380</v>
      </c>
      <c r="C159" s="7">
        <v>0</v>
      </c>
      <c r="D159" s="7">
        <v>230.7</v>
      </c>
      <c r="E159" s="8">
        <v>46279.168576388889</v>
      </c>
      <c r="F159" s="9">
        <v>46279</v>
      </c>
      <c r="G159" s="6" t="s">
        <v>75</v>
      </c>
      <c r="H159" s="12" t="s">
        <v>496</v>
      </c>
      <c r="I159" s="12" t="str">
        <f>IFERROR(VLOOKUP(A159,Hoja2!A:C,3,FALSE),"0")</f>
        <v>0</v>
      </c>
      <c r="J159" s="13">
        <f>+D159-I159</f>
        <v>230.7</v>
      </c>
    </row>
    <row r="160" spans="1:10" x14ac:dyDescent="0.25">
      <c r="A160" s="10">
        <v>530305</v>
      </c>
      <c r="B160" s="6" t="s">
        <v>265</v>
      </c>
      <c r="C160" s="7">
        <v>305</v>
      </c>
      <c r="D160" s="7">
        <v>0</v>
      </c>
      <c r="E160" s="8">
        <v>46295.512731481482</v>
      </c>
      <c r="F160" s="9">
        <v>46295</v>
      </c>
      <c r="G160" s="6" t="s">
        <v>77</v>
      </c>
      <c r="H160" s="12" t="s">
        <v>496</v>
      </c>
      <c r="I160" s="12">
        <f>IFERROR(VLOOKUP(A160,Hoja2!A:C,3,FALSE),"0")</f>
        <v>140</v>
      </c>
      <c r="J160" s="13">
        <f>+D160-I160</f>
        <v>-140</v>
      </c>
    </row>
    <row r="161" spans="1:10" x14ac:dyDescent="0.25">
      <c r="A161" s="10">
        <v>530306</v>
      </c>
      <c r="B161" s="6" t="s">
        <v>84</v>
      </c>
      <c r="C161" s="7">
        <v>406</v>
      </c>
      <c r="D161" s="7">
        <v>101</v>
      </c>
      <c r="E161" s="8">
        <v>46295.512731481482</v>
      </c>
      <c r="F161" s="9">
        <v>46295</v>
      </c>
      <c r="G161" s="6" t="s">
        <v>77</v>
      </c>
      <c r="H161" s="12" t="s">
        <v>496</v>
      </c>
      <c r="I161" s="12">
        <f>IFERROR(VLOOKUP(A161,Hoja2!A:C,3,FALSE),"0")</f>
        <v>210</v>
      </c>
      <c r="J161" s="13">
        <f>+D161-I161</f>
        <v>-109</v>
      </c>
    </row>
    <row r="162" spans="1:10" x14ac:dyDescent="0.25">
      <c r="A162" s="10">
        <v>530321</v>
      </c>
      <c r="B162" s="6" t="s">
        <v>85</v>
      </c>
      <c r="C162" s="7">
        <v>179</v>
      </c>
      <c r="D162" s="7">
        <v>93</v>
      </c>
      <c r="E162" s="8">
        <v>46295.522037037037</v>
      </c>
      <c r="F162" s="9">
        <v>46295</v>
      </c>
      <c r="G162" s="6" t="s">
        <v>77</v>
      </c>
      <c r="H162" s="12" t="s">
        <v>496</v>
      </c>
      <c r="I162" s="12">
        <f>IFERROR(VLOOKUP(A162,Hoja2!A:C,3,FALSE),"0")</f>
        <v>210</v>
      </c>
      <c r="J162" s="13">
        <f>+D162-I162</f>
        <v>-117</v>
      </c>
    </row>
    <row r="163" spans="1:10" x14ac:dyDescent="0.25">
      <c r="A163" s="10">
        <v>531500</v>
      </c>
      <c r="B163" s="6" t="s">
        <v>324</v>
      </c>
      <c r="C163" s="7">
        <v>-26</v>
      </c>
      <c r="D163" s="7">
        <v>44.45</v>
      </c>
      <c r="E163" s="8">
        <v>46289.583078703705</v>
      </c>
      <c r="F163" s="9">
        <v>46289</v>
      </c>
      <c r="G163" s="6" t="s">
        <v>87</v>
      </c>
      <c r="H163" s="12" t="s">
        <v>496</v>
      </c>
      <c r="I163" s="12" t="str">
        <f>IFERROR(VLOOKUP(A163,Hoja2!A:C,3,FALSE),"0")</f>
        <v>0</v>
      </c>
      <c r="J163" s="13">
        <f>+D163-I163</f>
        <v>44.45</v>
      </c>
    </row>
    <row r="164" spans="1:10" x14ac:dyDescent="0.25">
      <c r="A164" s="10">
        <v>531501</v>
      </c>
      <c r="B164" s="6" t="s">
        <v>86</v>
      </c>
      <c r="C164" s="7">
        <v>-945</v>
      </c>
      <c r="D164" s="7">
        <v>857.16</v>
      </c>
      <c r="E164" s="8">
        <v>46295.27380787037</v>
      </c>
      <c r="F164" s="9">
        <v>46295</v>
      </c>
      <c r="G164" s="6" t="s">
        <v>87</v>
      </c>
      <c r="H164" s="12" t="s">
        <v>496</v>
      </c>
      <c r="I164" s="12" t="str">
        <f>IFERROR(VLOOKUP(A164,Hoja2!A:C,3,FALSE),"0")</f>
        <v>0</v>
      </c>
      <c r="J164" s="13">
        <f>+D164-I164</f>
        <v>857.16</v>
      </c>
    </row>
    <row r="165" spans="1:10" x14ac:dyDescent="0.25">
      <c r="A165" s="10">
        <v>531502</v>
      </c>
      <c r="B165" s="6" t="s">
        <v>88</v>
      </c>
      <c r="C165" s="7">
        <v>-68</v>
      </c>
      <c r="D165" s="7">
        <v>41</v>
      </c>
      <c r="E165" s="8">
        <v>46281.466851851852</v>
      </c>
      <c r="F165" s="9">
        <v>46281</v>
      </c>
      <c r="G165" s="6" t="s">
        <v>87</v>
      </c>
      <c r="H165" s="12" t="s">
        <v>496</v>
      </c>
      <c r="I165" s="12" t="str">
        <f>IFERROR(VLOOKUP(A165,Hoja2!A:C,3,FALSE),"0")</f>
        <v>0</v>
      </c>
      <c r="J165" s="13">
        <f>+D165-I165</f>
        <v>41</v>
      </c>
    </row>
    <row r="166" spans="1:10" x14ac:dyDescent="0.25">
      <c r="A166" s="10">
        <v>531504</v>
      </c>
      <c r="B166" s="6" t="s">
        <v>347</v>
      </c>
      <c r="C166" s="7">
        <v>-14</v>
      </c>
      <c r="D166" s="7">
        <v>4.1500000000000004</v>
      </c>
      <c r="E166" s="8">
        <v>46266.778900462959</v>
      </c>
      <c r="F166" s="9">
        <v>46266</v>
      </c>
      <c r="G166" s="6" t="s">
        <v>87</v>
      </c>
      <c r="H166" s="12" t="s">
        <v>496</v>
      </c>
      <c r="I166" s="12" t="str">
        <f>IFERROR(VLOOKUP(A166,Hoja2!A:C,3,FALSE),"0")</f>
        <v>0</v>
      </c>
      <c r="J166" s="13">
        <f>+D166-I166</f>
        <v>4.1500000000000004</v>
      </c>
    </row>
    <row r="167" spans="1:10" x14ac:dyDescent="0.25">
      <c r="A167" s="10">
        <v>531505</v>
      </c>
      <c r="B167" s="6" t="s">
        <v>348</v>
      </c>
      <c r="C167" s="7">
        <v>-17</v>
      </c>
      <c r="D167" s="7">
        <v>13.3</v>
      </c>
      <c r="E167" s="8">
        <v>46295.512731481482</v>
      </c>
      <c r="F167" s="9">
        <v>46295</v>
      </c>
      <c r="G167" s="6" t="s">
        <v>87</v>
      </c>
      <c r="H167" s="12" t="s">
        <v>496</v>
      </c>
      <c r="I167" s="12">
        <f>IFERROR(VLOOKUP(A167,Hoja2!A:C,3,FALSE),"0")</f>
        <v>18.2</v>
      </c>
      <c r="J167" s="13">
        <f>+D167-I167</f>
        <v>-4.8999999999999986</v>
      </c>
    </row>
    <row r="168" spans="1:10" x14ac:dyDescent="0.25">
      <c r="A168" s="10">
        <v>531516</v>
      </c>
      <c r="B168" s="6" t="s">
        <v>203</v>
      </c>
      <c r="C168" s="7">
        <v>-393</v>
      </c>
      <c r="D168" s="7">
        <v>100.3</v>
      </c>
      <c r="E168" s="8">
        <v>46289.583078703705</v>
      </c>
      <c r="F168" s="9">
        <v>46289</v>
      </c>
      <c r="G168" s="6" t="s">
        <v>87</v>
      </c>
      <c r="H168" s="12" t="s">
        <v>496</v>
      </c>
      <c r="I168" s="12" t="str">
        <f>IFERROR(VLOOKUP(A168,Hoja2!A:C,3,FALSE),"0")</f>
        <v>0</v>
      </c>
      <c r="J168" s="13">
        <f>+D168-I168</f>
        <v>100.3</v>
      </c>
    </row>
    <row r="169" spans="1:10" x14ac:dyDescent="0.25">
      <c r="A169" s="10">
        <v>531521</v>
      </c>
      <c r="B169" s="6" t="s">
        <v>89</v>
      </c>
      <c r="C169" s="7">
        <v>-905</v>
      </c>
      <c r="D169" s="7">
        <v>467.80000000000007</v>
      </c>
      <c r="E169" s="8">
        <v>46295.522037037037</v>
      </c>
      <c r="F169" s="9">
        <v>46295</v>
      </c>
      <c r="G169" s="6" t="s">
        <v>87</v>
      </c>
      <c r="H169" s="12" t="s">
        <v>496</v>
      </c>
      <c r="I169" s="12">
        <f>IFERROR(VLOOKUP(A169,Hoja2!A:C,3,FALSE),"0")</f>
        <v>369.4</v>
      </c>
      <c r="J169" s="13">
        <f>+D169-I169</f>
        <v>98.400000000000091</v>
      </c>
    </row>
    <row r="170" spans="1:10" x14ac:dyDescent="0.25">
      <c r="A170" s="10">
        <v>531827</v>
      </c>
      <c r="B170" s="6" t="s">
        <v>240</v>
      </c>
      <c r="C170" s="7">
        <v>0</v>
      </c>
      <c r="D170" s="7">
        <v>0</v>
      </c>
      <c r="E170" s="8">
        <v>46234.604432870372</v>
      </c>
      <c r="F170" s="9">
        <v>46234</v>
      </c>
      <c r="G170" s="6" t="s">
        <v>87</v>
      </c>
      <c r="H170" s="12" t="s">
        <v>496</v>
      </c>
      <c r="I170" s="12" t="str">
        <f>IFERROR(VLOOKUP(A170,Hoja2!A:C,3,FALSE),"0")</f>
        <v>0</v>
      </c>
      <c r="J170" s="13">
        <f>+D170-I170</f>
        <v>0</v>
      </c>
    </row>
    <row r="171" spans="1:10" x14ac:dyDescent="0.25">
      <c r="A171" s="10">
        <v>531835</v>
      </c>
      <c r="B171" s="6" t="s">
        <v>315</v>
      </c>
      <c r="C171" s="7">
        <v>80</v>
      </c>
      <c r="D171" s="7">
        <v>0</v>
      </c>
      <c r="E171" s="8">
        <v>46295.512731481482</v>
      </c>
      <c r="F171" s="9">
        <v>46295</v>
      </c>
      <c r="G171" s="6" t="s">
        <v>87</v>
      </c>
      <c r="H171" s="12" t="s">
        <v>496</v>
      </c>
      <c r="I171" s="12">
        <f>IFERROR(VLOOKUP(A171,Hoja2!A:C,3,FALSE),"0")</f>
        <v>70</v>
      </c>
      <c r="J171" s="13">
        <f>+D171-I171</f>
        <v>-70</v>
      </c>
    </row>
    <row r="172" spans="1:10" x14ac:dyDescent="0.25">
      <c r="A172" s="10">
        <v>533000</v>
      </c>
      <c r="B172" s="6" t="s">
        <v>90</v>
      </c>
      <c r="C172" s="7">
        <v>-6</v>
      </c>
      <c r="D172" s="7">
        <v>10</v>
      </c>
      <c r="E172" s="8">
        <v>46295.528425925928</v>
      </c>
      <c r="F172" s="9">
        <v>46295</v>
      </c>
      <c r="G172" s="6" t="s">
        <v>91</v>
      </c>
      <c r="H172" s="12" t="s">
        <v>496</v>
      </c>
      <c r="I172" s="12">
        <f>IFERROR(VLOOKUP(A172,Hoja2!A:C,3,FALSE),"0")</f>
        <v>57.8</v>
      </c>
      <c r="J172" s="13">
        <f>+D172-I172</f>
        <v>-47.8</v>
      </c>
    </row>
    <row r="173" spans="1:10" x14ac:dyDescent="0.25">
      <c r="A173" s="10">
        <v>533001</v>
      </c>
      <c r="B173" s="6" t="s">
        <v>325</v>
      </c>
      <c r="C173" s="7">
        <v>-10</v>
      </c>
      <c r="D173" s="7">
        <v>0</v>
      </c>
      <c r="E173" s="8">
        <v>46295.512731481482</v>
      </c>
      <c r="F173" s="9">
        <v>46295</v>
      </c>
      <c r="G173" s="6" t="s">
        <v>91</v>
      </c>
      <c r="H173" s="12" t="s">
        <v>496</v>
      </c>
      <c r="I173" s="12">
        <f>IFERROR(VLOOKUP(A173,Hoja2!A:C,3,FALSE),"0")</f>
        <v>62</v>
      </c>
      <c r="J173" s="13">
        <f>+D173-I173</f>
        <v>-62</v>
      </c>
    </row>
    <row r="174" spans="1:10" x14ac:dyDescent="0.25">
      <c r="A174" s="10">
        <v>533002</v>
      </c>
      <c r="B174" s="6" t="s">
        <v>316</v>
      </c>
      <c r="C174" s="7">
        <v>-8</v>
      </c>
      <c r="D174" s="7">
        <v>0</v>
      </c>
      <c r="E174" s="8">
        <v>46295.512731481482</v>
      </c>
      <c r="F174" s="9">
        <v>46295</v>
      </c>
      <c r="G174" s="6" t="s">
        <v>91</v>
      </c>
      <c r="H174" s="12" t="s">
        <v>496</v>
      </c>
      <c r="I174" s="12">
        <f>IFERROR(VLOOKUP(A174,Hoja2!A:C,3,FALSE),"0")</f>
        <v>12.4</v>
      </c>
      <c r="J174" s="13">
        <f>+D174-I174</f>
        <v>-12.4</v>
      </c>
    </row>
    <row r="175" spans="1:10" x14ac:dyDescent="0.25">
      <c r="A175" s="10">
        <v>533003</v>
      </c>
      <c r="B175" s="6" t="s">
        <v>92</v>
      </c>
      <c r="C175" s="7">
        <v>-40</v>
      </c>
      <c r="D175" s="7">
        <v>80.800000000000011</v>
      </c>
      <c r="E175" s="8">
        <v>46295.528425925928</v>
      </c>
      <c r="F175" s="9">
        <v>46295</v>
      </c>
      <c r="G175" s="6" t="s">
        <v>91</v>
      </c>
      <c r="H175" s="12" t="s">
        <v>496</v>
      </c>
      <c r="I175" s="12">
        <f>IFERROR(VLOOKUP(A175,Hoja2!A:C,3,FALSE),"0")</f>
        <v>43.1</v>
      </c>
      <c r="J175" s="13">
        <f>+D175-I175</f>
        <v>37.70000000000001</v>
      </c>
    </row>
    <row r="176" spans="1:10" x14ac:dyDescent="0.25">
      <c r="A176" s="10">
        <v>533004</v>
      </c>
      <c r="B176" s="6" t="s">
        <v>283</v>
      </c>
      <c r="C176" s="7">
        <v>0</v>
      </c>
      <c r="D176" s="7">
        <v>0</v>
      </c>
      <c r="E176" s="8">
        <v>46198.631712962961</v>
      </c>
      <c r="F176" s="9">
        <v>46198</v>
      </c>
      <c r="G176" s="6" t="s">
        <v>91</v>
      </c>
      <c r="H176" s="12" t="s">
        <v>496</v>
      </c>
      <c r="I176" s="12" t="str">
        <f>IFERROR(VLOOKUP(A176,Hoja2!A:C,3,FALSE),"0")</f>
        <v>0</v>
      </c>
      <c r="J176" s="13">
        <f>+D176-I176</f>
        <v>0</v>
      </c>
    </row>
    <row r="177" spans="1:10" x14ac:dyDescent="0.25">
      <c r="A177" s="10">
        <v>533005</v>
      </c>
      <c r="B177" s="6" t="s">
        <v>214</v>
      </c>
      <c r="C177" s="7">
        <v>-50</v>
      </c>
      <c r="D177" s="7">
        <v>43.45</v>
      </c>
      <c r="E177" s="8">
        <v>46295.528425925928</v>
      </c>
      <c r="F177" s="9">
        <v>46295</v>
      </c>
      <c r="G177" s="6" t="s">
        <v>91</v>
      </c>
      <c r="H177" s="12" t="s">
        <v>496</v>
      </c>
      <c r="I177" s="12">
        <f>IFERROR(VLOOKUP(A177,Hoja2!A:C,3,FALSE),"0")</f>
        <v>88.3</v>
      </c>
      <c r="J177" s="13">
        <f>+D177-I177</f>
        <v>-44.849999999999994</v>
      </c>
    </row>
    <row r="178" spans="1:10" x14ac:dyDescent="0.25">
      <c r="A178" s="10">
        <v>533008</v>
      </c>
      <c r="B178" s="6" t="s">
        <v>326</v>
      </c>
      <c r="C178" s="7">
        <v>-5</v>
      </c>
      <c r="D178" s="7">
        <v>40.65</v>
      </c>
      <c r="E178" s="8">
        <v>46289.583078703705</v>
      </c>
      <c r="F178" s="9">
        <v>46289</v>
      </c>
      <c r="G178" s="6" t="s">
        <v>91</v>
      </c>
      <c r="H178" s="12" t="s">
        <v>496</v>
      </c>
      <c r="I178" s="12" t="str">
        <f>IFERROR(VLOOKUP(A178,Hoja2!A:C,3,FALSE),"0")</f>
        <v>0</v>
      </c>
      <c r="J178" s="13">
        <f>+D178-I178</f>
        <v>40.65</v>
      </c>
    </row>
    <row r="179" spans="1:10" x14ac:dyDescent="0.25">
      <c r="A179" s="10">
        <v>533018</v>
      </c>
      <c r="B179" s="6" t="s">
        <v>372</v>
      </c>
      <c r="C179" s="7">
        <v>0</v>
      </c>
      <c r="D179" s="7">
        <v>0</v>
      </c>
      <c r="E179" s="8">
        <v>46295.512731481482</v>
      </c>
      <c r="F179" s="9">
        <v>46295</v>
      </c>
      <c r="G179" s="6" t="s">
        <v>91</v>
      </c>
      <c r="H179" s="12" t="s">
        <v>496</v>
      </c>
      <c r="I179" s="12">
        <f>IFERROR(VLOOKUP(A179,Hoja2!A:C,3,FALSE),"0")</f>
        <v>12.5</v>
      </c>
      <c r="J179" s="13">
        <f>+D179-I179</f>
        <v>-12.5</v>
      </c>
    </row>
    <row r="180" spans="1:10" x14ac:dyDescent="0.25">
      <c r="A180" s="10">
        <v>533021</v>
      </c>
      <c r="B180" s="6" t="s">
        <v>318</v>
      </c>
      <c r="C180" s="7">
        <v>0</v>
      </c>
      <c r="D180" s="7">
        <v>14.05</v>
      </c>
      <c r="E180" s="8">
        <v>46289.583078703705</v>
      </c>
      <c r="F180" s="9">
        <v>46289</v>
      </c>
      <c r="G180" s="6" t="s">
        <v>91</v>
      </c>
      <c r="H180" s="12" t="s">
        <v>496</v>
      </c>
      <c r="I180" s="12" t="str">
        <f>IFERROR(VLOOKUP(A180,Hoja2!A:C,3,FALSE),"0")</f>
        <v>0</v>
      </c>
      <c r="J180" s="13">
        <f>+D180-I180</f>
        <v>14.05</v>
      </c>
    </row>
    <row r="181" spans="1:10" x14ac:dyDescent="0.25">
      <c r="A181" s="10">
        <v>533026</v>
      </c>
      <c r="B181" s="6" t="s">
        <v>368</v>
      </c>
      <c r="C181" s="7">
        <v>0</v>
      </c>
      <c r="D181" s="7">
        <v>0</v>
      </c>
      <c r="E181" s="8">
        <v>46266.767650462964</v>
      </c>
      <c r="F181" s="9">
        <v>46266</v>
      </c>
      <c r="G181" s="6" t="s">
        <v>91</v>
      </c>
      <c r="H181" s="12" t="s">
        <v>496</v>
      </c>
      <c r="I181" s="12" t="str">
        <f>IFERROR(VLOOKUP(A181,Hoja2!A:C,3,FALSE),"0")</f>
        <v>0</v>
      </c>
      <c r="J181" s="13">
        <f>+D181-I181</f>
        <v>0</v>
      </c>
    </row>
    <row r="182" spans="1:10" x14ac:dyDescent="0.25">
      <c r="A182" s="10">
        <v>533027</v>
      </c>
      <c r="B182" s="6" t="s">
        <v>349</v>
      </c>
      <c r="C182" s="7">
        <v>0</v>
      </c>
      <c r="D182" s="7">
        <v>2.9</v>
      </c>
      <c r="E182" s="8">
        <v>46275.531284722223</v>
      </c>
      <c r="F182" s="9">
        <v>46275</v>
      </c>
      <c r="G182" s="6" t="s">
        <v>91</v>
      </c>
      <c r="H182" s="12" t="s">
        <v>496</v>
      </c>
      <c r="I182" s="12" t="str">
        <f>IFERROR(VLOOKUP(A182,Hoja2!A:C,3,FALSE),"0")</f>
        <v>0</v>
      </c>
      <c r="J182" s="13">
        <f>+D182-I182</f>
        <v>2.9</v>
      </c>
    </row>
    <row r="183" spans="1:10" x14ac:dyDescent="0.25">
      <c r="A183" s="10">
        <v>533030</v>
      </c>
      <c r="B183" s="6" t="s">
        <v>391</v>
      </c>
      <c r="C183" s="7">
        <v>0</v>
      </c>
      <c r="D183" s="7">
        <v>0</v>
      </c>
      <c r="E183" s="8">
        <v>46281.483773148146</v>
      </c>
      <c r="F183" s="9">
        <v>46281</v>
      </c>
      <c r="G183" s="6" t="s">
        <v>91</v>
      </c>
      <c r="H183" s="12" t="s">
        <v>496</v>
      </c>
      <c r="I183" s="12" t="str">
        <f>IFERROR(VLOOKUP(A183,Hoja2!A:C,3,FALSE),"0")</f>
        <v>0</v>
      </c>
      <c r="J183" s="13">
        <f>+D183-I183</f>
        <v>0</v>
      </c>
    </row>
    <row r="184" spans="1:10" x14ac:dyDescent="0.25">
      <c r="A184" s="10">
        <v>533328</v>
      </c>
      <c r="B184" s="6" t="s">
        <v>93</v>
      </c>
      <c r="C184" s="7">
        <v>64</v>
      </c>
      <c r="D184" s="7">
        <v>0</v>
      </c>
      <c r="E184" s="8">
        <v>46295.541307870371</v>
      </c>
      <c r="F184" s="9">
        <v>46295</v>
      </c>
      <c r="G184" s="6" t="s">
        <v>91</v>
      </c>
      <c r="H184" s="12" t="s">
        <v>496</v>
      </c>
      <c r="I184" s="12">
        <f>IFERROR(VLOOKUP(A184,Hoja2!A:C,3,FALSE),"0")</f>
        <v>44</v>
      </c>
      <c r="J184" s="13">
        <f>+D184-I184</f>
        <v>-44</v>
      </c>
    </row>
    <row r="185" spans="1:10" x14ac:dyDescent="0.25">
      <c r="A185" s="10">
        <v>533329</v>
      </c>
      <c r="B185" s="6" t="s">
        <v>215</v>
      </c>
      <c r="C185" s="7">
        <v>453</v>
      </c>
      <c r="D185" s="7">
        <v>1</v>
      </c>
      <c r="E185" s="8">
        <v>46295.5153125</v>
      </c>
      <c r="F185" s="9">
        <v>46295</v>
      </c>
      <c r="G185" s="6" t="s">
        <v>91</v>
      </c>
      <c r="H185" s="12" t="s">
        <v>496</v>
      </c>
      <c r="I185" s="12">
        <f>IFERROR(VLOOKUP(A185,Hoja2!A:C,3,FALSE),"0")</f>
        <v>400</v>
      </c>
      <c r="J185" s="13">
        <f>+D185-I185</f>
        <v>-399</v>
      </c>
    </row>
    <row r="186" spans="1:10" x14ac:dyDescent="0.25">
      <c r="A186" s="10">
        <v>533330</v>
      </c>
      <c r="B186" s="6" t="s">
        <v>94</v>
      </c>
      <c r="C186" s="7">
        <v>61</v>
      </c>
      <c r="D186" s="7">
        <v>13</v>
      </c>
      <c r="E186" s="8">
        <v>46295.5153125</v>
      </c>
      <c r="F186" s="9">
        <v>46295</v>
      </c>
      <c r="G186" s="6" t="s">
        <v>91</v>
      </c>
      <c r="H186" s="12" t="s">
        <v>496</v>
      </c>
      <c r="I186" s="12">
        <f>IFERROR(VLOOKUP(A186,Hoja2!A:C,3,FALSE),"0")</f>
        <v>27</v>
      </c>
      <c r="J186" s="13">
        <f>+D186-I186</f>
        <v>-14</v>
      </c>
    </row>
    <row r="187" spans="1:10" x14ac:dyDescent="0.25">
      <c r="A187" s="10">
        <v>533347</v>
      </c>
      <c r="B187" s="6" t="s">
        <v>367</v>
      </c>
      <c r="C187" s="7">
        <v>0</v>
      </c>
      <c r="D187" s="7">
        <v>0</v>
      </c>
      <c r="E187" s="8">
        <v>46239.702048611114</v>
      </c>
      <c r="F187" s="9">
        <v>46239</v>
      </c>
      <c r="G187" s="6" t="s">
        <v>91</v>
      </c>
      <c r="H187" s="12" t="s">
        <v>496</v>
      </c>
      <c r="I187" s="12" t="str">
        <f>IFERROR(VLOOKUP(A187,Hoja2!A:C,3,FALSE),"0")</f>
        <v>0</v>
      </c>
      <c r="J187" s="13">
        <f>+D187-I187</f>
        <v>0</v>
      </c>
    </row>
    <row r="188" spans="1:10" x14ac:dyDescent="0.25">
      <c r="A188" s="10">
        <v>533348</v>
      </c>
      <c r="B188" s="6" t="s">
        <v>95</v>
      </c>
      <c r="C188" s="7">
        <v>144</v>
      </c>
      <c r="D188" s="7">
        <v>2</v>
      </c>
      <c r="E188" s="8">
        <v>46294.986701388887</v>
      </c>
      <c r="F188" s="9">
        <v>46294</v>
      </c>
      <c r="G188" s="6" t="s">
        <v>91</v>
      </c>
      <c r="H188" s="12" t="s">
        <v>496</v>
      </c>
      <c r="I188" s="12" t="str">
        <f>IFERROR(VLOOKUP(A188,Hoja2!A:C,3,FALSE),"0")</f>
        <v>0</v>
      </c>
      <c r="J188" s="13">
        <f>+D188-I188</f>
        <v>2</v>
      </c>
    </row>
    <row r="189" spans="1:10" x14ac:dyDescent="0.25">
      <c r="A189" s="10">
        <v>533373</v>
      </c>
      <c r="B189" s="6" t="s">
        <v>96</v>
      </c>
      <c r="C189" s="7">
        <v>108</v>
      </c>
      <c r="D189" s="7">
        <v>0</v>
      </c>
      <c r="E189" s="8">
        <v>46295.5153125</v>
      </c>
      <c r="F189" s="9">
        <v>46295</v>
      </c>
      <c r="G189" s="6" t="s">
        <v>91</v>
      </c>
      <c r="H189" s="12" t="s">
        <v>496</v>
      </c>
      <c r="I189" s="12">
        <f>IFERROR(VLOOKUP(A189,Hoja2!A:C,3,FALSE),"0")</f>
        <v>24</v>
      </c>
      <c r="J189" s="13">
        <f>+D189-I189</f>
        <v>-24</v>
      </c>
    </row>
    <row r="190" spans="1:10" x14ac:dyDescent="0.25">
      <c r="A190" s="10">
        <v>534202</v>
      </c>
      <c r="B190" s="6" t="s">
        <v>267</v>
      </c>
      <c r="C190" s="7">
        <v>-33</v>
      </c>
      <c r="D190" s="7">
        <v>4.5500000000000114</v>
      </c>
      <c r="E190" s="8">
        <v>46295.5153125</v>
      </c>
      <c r="F190" s="9">
        <v>46295</v>
      </c>
      <c r="G190" s="6" t="s">
        <v>202</v>
      </c>
      <c r="H190" s="12" t="s">
        <v>496</v>
      </c>
      <c r="I190" s="12">
        <f>IFERROR(VLOOKUP(A190,Hoja2!A:C,3,FALSE),"0")</f>
        <v>293</v>
      </c>
      <c r="J190" s="13">
        <f>+D190-I190</f>
        <v>-288.45</v>
      </c>
    </row>
    <row r="191" spans="1:10" x14ac:dyDescent="0.25">
      <c r="A191" s="10">
        <v>534203</v>
      </c>
      <c r="B191" s="6" t="s">
        <v>206</v>
      </c>
      <c r="C191" s="7">
        <v>-77</v>
      </c>
      <c r="D191" s="7">
        <v>2584.8500000000004</v>
      </c>
      <c r="E191" s="8">
        <v>46295.516238425924</v>
      </c>
      <c r="F191" s="9">
        <v>46295</v>
      </c>
      <c r="G191" s="6" t="s">
        <v>202</v>
      </c>
      <c r="H191" s="12" t="s">
        <v>496</v>
      </c>
      <c r="I191" s="12">
        <f>IFERROR(VLOOKUP(A191,Hoja2!A:C,3,FALSE),"0")</f>
        <v>3925</v>
      </c>
      <c r="J191" s="13">
        <f>+D191-I191</f>
        <v>-1340.1499999999996</v>
      </c>
    </row>
    <row r="192" spans="1:10" x14ac:dyDescent="0.25">
      <c r="A192" s="10">
        <v>534213</v>
      </c>
      <c r="B192" s="6" t="s">
        <v>317</v>
      </c>
      <c r="C192" s="7">
        <v>-23</v>
      </c>
      <c r="D192" s="7">
        <v>132.39999999999998</v>
      </c>
      <c r="E192" s="8">
        <v>46295.514189814814</v>
      </c>
      <c r="F192" s="9">
        <v>46295</v>
      </c>
      <c r="G192" s="6" t="s">
        <v>202</v>
      </c>
      <c r="H192" s="12" t="s">
        <v>496</v>
      </c>
      <c r="I192" s="12">
        <f>IFERROR(VLOOKUP(A192,Hoja2!A:C,3,FALSE),"0")</f>
        <v>488.6</v>
      </c>
      <c r="J192" s="13">
        <f>+D192-I192</f>
        <v>-356.20000000000005</v>
      </c>
    </row>
    <row r="193" spans="1:10" x14ac:dyDescent="0.25">
      <c r="A193" s="10">
        <v>534504</v>
      </c>
      <c r="B193" s="6" t="s">
        <v>266</v>
      </c>
      <c r="C193" s="7">
        <v>156</v>
      </c>
      <c r="D193" s="7">
        <v>0</v>
      </c>
      <c r="E193" s="8">
        <v>46295.514189814814</v>
      </c>
      <c r="F193" s="9">
        <v>46295</v>
      </c>
      <c r="G193" s="6" t="s">
        <v>202</v>
      </c>
      <c r="H193" s="12" t="s">
        <v>496</v>
      </c>
      <c r="I193" s="12">
        <f>IFERROR(VLOOKUP(A193,Hoja2!A:C,3,FALSE),"0")</f>
        <v>90</v>
      </c>
      <c r="J193" s="13">
        <f>+D193-I193</f>
        <v>-90</v>
      </c>
    </row>
    <row r="194" spans="1:10" x14ac:dyDescent="0.25">
      <c r="A194" s="10">
        <v>534505</v>
      </c>
      <c r="B194" s="6" t="s">
        <v>261</v>
      </c>
      <c r="C194" s="7">
        <v>0</v>
      </c>
      <c r="D194" s="7">
        <v>43</v>
      </c>
      <c r="E194" s="8">
        <v>46288.08489583333</v>
      </c>
      <c r="F194" s="9">
        <v>46288</v>
      </c>
      <c r="G194" s="6" t="s">
        <v>202</v>
      </c>
      <c r="H194" s="12" t="s">
        <v>496</v>
      </c>
      <c r="I194" s="12" t="str">
        <f>IFERROR(VLOOKUP(A194,Hoja2!A:C,3,FALSE),"0")</f>
        <v>0</v>
      </c>
      <c r="J194" s="13">
        <f>+D194-I194</f>
        <v>43</v>
      </c>
    </row>
    <row r="195" spans="1:10" x14ac:dyDescent="0.25">
      <c r="A195" s="10">
        <v>534506</v>
      </c>
      <c r="B195" s="6" t="s">
        <v>262</v>
      </c>
      <c r="C195" s="7">
        <v>0</v>
      </c>
      <c r="D195" s="7">
        <v>0</v>
      </c>
      <c r="E195" s="8">
        <v>46205.407361111109</v>
      </c>
      <c r="F195" s="9">
        <v>46205</v>
      </c>
      <c r="G195" s="6" t="s">
        <v>202</v>
      </c>
      <c r="H195" s="12" t="s">
        <v>496</v>
      </c>
      <c r="I195" s="12" t="str">
        <f>IFERROR(VLOOKUP(A195,Hoja2!A:C,3,FALSE),"0")</f>
        <v>0</v>
      </c>
      <c r="J195" s="13">
        <f>+D195-I195</f>
        <v>0</v>
      </c>
    </row>
    <row r="196" spans="1:10" x14ac:dyDescent="0.25">
      <c r="A196" s="10">
        <v>534507</v>
      </c>
      <c r="B196" s="6" t="s">
        <v>263</v>
      </c>
      <c r="C196" s="7">
        <v>0</v>
      </c>
      <c r="D196" s="7">
        <v>0</v>
      </c>
      <c r="E196" s="8">
        <v>46205.407361111109</v>
      </c>
      <c r="F196" s="9">
        <v>46205</v>
      </c>
      <c r="G196" s="6" t="s">
        <v>202</v>
      </c>
      <c r="H196" s="12" t="s">
        <v>496</v>
      </c>
      <c r="I196" s="12" t="str">
        <f>IFERROR(VLOOKUP(A196,Hoja2!A:C,3,FALSE),"0")</f>
        <v>0</v>
      </c>
      <c r="J196" s="13">
        <f>+D196-I196</f>
        <v>0</v>
      </c>
    </row>
    <row r="197" spans="1:10" x14ac:dyDescent="0.25">
      <c r="A197" s="10">
        <v>534508</v>
      </c>
      <c r="B197" s="6" t="s">
        <v>259</v>
      </c>
      <c r="C197" s="7">
        <v>0</v>
      </c>
      <c r="D197" s="7">
        <v>0</v>
      </c>
      <c r="E197" s="8">
        <v>46195.890023148146</v>
      </c>
      <c r="F197" s="9">
        <v>46195</v>
      </c>
      <c r="G197" s="6" t="s">
        <v>202</v>
      </c>
      <c r="H197" s="12" t="s">
        <v>496</v>
      </c>
      <c r="I197" s="12" t="str">
        <f>IFERROR(VLOOKUP(A197,Hoja2!A:C,3,FALSE),"0")</f>
        <v>0</v>
      </c>
      <c r="J197" s="13">
        <f>+D197-I197</f>
        <v>0</v>
      </c>
    </row>
    <row r="198" spans="1:10" x14ac:dyDescent="0.25">
      <c r="A198" s="10">
        <v>534509</v>
      </c>
      <c r="B198" s="6" t="s">
        <v>201</v>
      </c>
      <c r="C198" s="7">
        <v>0</v>
      </c>
      <c r="D198" s="7">
        <v>0</v>
      </c>
      <c r="E198" s="8">
        <v>46195.890023148146</v>
      </c>
      <c r="F198" s="9">
        <v>46195</v>
      </c>
      <c r="G198" s="6" t="s">
        <v>202</v>
      </c>
      <c r="H198" s="12" t="s">
        <v>496</v>
      </c>
      <c r="I198" s="12" t="str">
        <f>IFERROR(VLOOKUP(A198,Hoja2!A:C,3,FALSE),"0")</f>
        <v>0</v>
      </c>
      <c r="J198" s="13">
        <f>+D198-I198</f>
        <v>0</v>
      </c>
    </row>
    <row r="199" spans="1:10" x14ac:dyDescent="0.25">
      <c r="A199" s="10">
        <v>534510</v>
      </c>
      <c r="B199" s="6" t="s">
        <v>264</v>
      </c>
      <c r="C199" s="7">
        <v>0</v>
      </c>
      <c r="D199" s="7">
        <v>0</v>
      </c>
      <c r="E199" s="8">
        <v>46191.558136574073</v>
      </c>
      <c r="F199" s="9">
        <v>46191</v>
      </c>
      <c r="G199" s="6" t="s">
        <v>202</v>
      </c>
      <c r="H199" s="12" t="s">
        <v>496</v>
      </c>
      <c r="I199" s="12" t="str">
        <f>IFERROR(VLOOKUP(A199,Hoja2!A:C,3,FALSE),"0")</f>
        <v>0</v>
      </c>
      <c r="J199" s="13">
        <f>+D199-I199</f>
        <v>0</v>
      </c>
    </row>
    <row r="200" spans="1:10" x14ac:dyDescent="0.25">
      <c r="A200" s="10">
        <v>534511</v>
      </c>
      <c r="B200" s="6" t="s">
        <v>207</v>
      </c>
      <c r="C200" s="7">
        <v>2</v>
      </c>
      <c r="D200" s="7">
        <v>11</v>
      </c>
      <c r="E200" s="8">
        <v>46295.514189814814</v>
      </c>
      <c r="F200" s="9">
        <v>46295</v>
      </c>
      <c r="G200" s="6" t="s">
        <v>202</v>
      </c>
      <c r="H200" s="12" t="s">
        <v>496</v>
      </c>
      <c r="I200" s="12">
        <f>IFERROR(VLOOKUP(A200,Hoja2!A:C,3,FALSE),"0")</f>
        <v>35</v>
      </c>
      <c r="J200" s="13">
        <f>+D200-I200</f>
        <v>-24</v>
      </c>
    </row>
    <row r="201" spans="1:10" x14ac:dyDescent="0.25">
      <c r="A201" s="10">
        <v>534515</v>
      </c>
      <c r="B201" s="6" t="s">
        <v>281</v>
      </c>
      <c r="C201" s="7">
        <v>117</v>
      </c>
      <c r="D201" s="7">
        <v>0</v>
      </c>
      <c r="E201" s="8">
        <v>46193.536249999997</v>
      </c>
      <c r="F201" s="9">
        <v>46193</v>
      </c>
      <c r="G201" s="6" t="s">
        <v>202</v>
      </c>
      <c r="H201" s="12" t="s">
        <v>496</v>
      </c>
      <c r="I201" s="12" t="str">
        <f>IFERROR(VLOOKUP(A201,Hoja2!A:C,3,FALSE),"0")</f>
        <v>0</v>
      </c>
      <c r="J201" s="13">
        <f>+D201-I201</f>
        <v>0</v>
      </c>
    </row>
    <row r="202" spans="1:10" x14ac:dyDescent="0.25">
      <c r="A202" s="10">
        <v>534516</v>
      </c>
      <c r="B202" s="6" t="s">
        <v>282</v>
      </c>
      <c r="C202" s="7">
        <v>0</v>
      </c>
      <c r="D202" s="7">
        <v>0</v>
      </c>
      <c r="E202" s="8">
        <v>46195.890023148146</v>
      </c>
      <c r="F202" s="9">
        <v>46195</v>
      </c>
      <c r="G202" s="6" t="s">
        <v>202</v>
      </c>
      <c r="H202" s="12" t="s">
        <v>496</v>
      </c>
      <c r="I202" s="12" t="str">
        <f>IFERROR(VLOOKUP(A202,Hoja2!A:C,3,FALSE),"0")</f>
        <v>0</v>
      </c>
      <c r="J202" s="13">
        <f>+D202-I202</f>
        <v>0</v>
      </c>
    </row>
    <row r="203" spans="1:10" x14ac:dyDescent="0.25">
      <c r="A203" s="10">
        <v>534542</v>
      </c>
      <c r="B203" s="6" t="s">
        <v>248</v>
      </c>
      <c r="C203" s="7">
        <v>358</v>
      </c>
      <c r="D203" s="7">
        <v>0</v>
      </c>
      <c r="E203" s="8">
        <v>46295.514189814814</v>
      </c>
      <c r="F203" s="9">
        <v>46295</v>
      </c>
      <c r="G203" s="6" t="s">
        <v>202</v>
      </c>
      <c r="H203" s="12" t="s">
        <v>496</v>
      </c>
      <c r="I203" s="12">
        <f>IFERROR(VLOOKUP(A203,Hoja2!A:C,3,FALSE),"0")</f>
        <v>359</v>
      </c>
      <c r="J203" s="13">
        <f>+D203-I203</f>
        <v>-359</v>
      </c>
    </row>
    <row r="204" spans="1:10" x14ac:dyDescent="0.25">
      <c r="A204" s="10">
        <v>534555</v>
      </c>
      <c r="B204" s="6" t="s">
        <v>361</v>
      </c>
      <c r="C204" s="7">
        <v>0</v>
      </c>
      <c r="D204" s="7">
        <v>0</v>
      </c>
      <c r="E204" s="8">
        <v>46234.602418981478</v>
      </c>
      <c r="F204" s="9">
        <v>46234</v>
      </c>
      <c r="G204" s="6" t="s">
        <v>202</v>
      </c>
      <c r="H204" s="12" t="s">
        <v>496</v>
      </c>
      <c r="I204" s="12" t="str">
        <f>IFERROR(VLOOKUP(A204,Hoja2!A:C,3,FALSE),"0")</f>
        <v>0</v>
      </c>
      <c r="J204" s="13">
        <f>+D204-I204</f>
        <v>0</v>
      </c>
    </row>
    <row r="205" spans="1:10" x14ac:dyDescent="0.25">
      <c r="A205" s="10">
        <v>534556</v>
      </c>
      <c r="B205" s="6" t="s">
        <v>302</v>
      </c>
      <c r="C205" s="7">
        <v>266</v>
      </c>
      <c r="D205" s="7">
        <v>175</v>
      </c>
      <c r="E205" s="8">
        <v>46295.52484953704</v>
      </c>
      <c r="F205" s="9">
        <v>46295</v>
      </c>
      <c r="G205" s="6" t="s">
        <v>202</v>
      </c>
      <c r="H205" s="12" t="s">
        <v>496</v>
      </c>
      <c r="I205" s="12">
        <f>IFERROR(VLOOKUP(A205,Hoja2!A:C,3,FALSE),"0")</f>
        <v>180</v>
      </c>
      <c r="J205" s="13">
        <f>+D205-I205</f>
        <v>-5</v>
      </c>
    </row>
    <row r="206" spans="1:10" x14ac:dyDescent="0.25">
      <c r="A206" s="10">
        <v>534557</v>
      </c>
      <c r="B206" s="6" t="s">
        <v>303</v>
      </c>
      <c r="C206" s="7">
        <v>219</v>
      </c>
      <c r="D206" s="7">
        <v>214</v>
      </c>
      <c r="E206" s="8">
        <v>46295.52484953704</v>
      </c>
      <c r="F206" s="9">
        <v>46295</v>
      </c>
      <c r="G206" s="6" t="s">
        <v>202</v>
      </c>
      <c r="H206" s="12" t="s">
        <v>496</v>
      </c>
      <c r="I206" s="12">
        <f>IFERROR(VLOOKUP(A206,Hoja2!A:C,3,FALSE),"0")</f>
        <v>100</v>
      </c>
      <c r="J206" s="13">
        <f>+D206-I206</f>
        <v>114</v>
      </c>
    </row>
    <row r="207" spans="1:10" x14ac:dyDescent="0.25">
      <c r="A207" s="10">
        <v>534806</v>
      </c>
      <c r="B207" s="6" t="s">
        <v>277</v>
      </c>
      <c r="C207" s="7">
        <v>0</v>
      </c>
      <c r="D207" s="7">
        <v>287</v>
      </c>
      <c r="E207" s="8">
        <v>46288.082407407404</v>
      </c>
      <c r="F207" s="9">
        <v>46288</v>
      </c>
      <c r="G207" s="6" t="s">
        <v>202</v>
      </c>
      <c r="H207" s="12" t="s">
        <v>496</v>
      </c>
      <c r="I207" s="12" t="str">
        <f>IFERROR(VLOOKUP(A207,Hoja2!A:C,3,FALSE),"0")</f>
        <v>0</v>
      </c>
      <c r="J207" s="13">
        <f>+D207-I207</f>
        <v>287</v>
      </c>
    </row>
    <row r="208" spans="1:10" x14ac:dyDescent="0.25">
      <c r="A208" s="10">
        <v>534808</v>
      </c>
      <c r="B208" s="6" t="s">
        <v>278</v>
      </c>
      <c r="C208" s="7">
        <v>88</v>
      </c>
      <c r="D208" s="7">
        <v>21</v>
      </c>
      <c r="E208" s="8">
        <v>46295.514189814814</v>
      </c>
      <c r="F208" s="9">
        <v>46295</v>
      </c>
      <c r="G208" s="6" t="s">
        <v>202</v>
      </c>
      <c r="H208" s="12" t="s">
        <v>496</v>
      </c>
      <c r="I208" s="12">
        <f>IFERROR(VLOOKUP(A208,Hoja2!A:C,3,FALSE),"0")</f>
        <v>210</v>
      </c>
      <c r="J208" s="13">
        <f>+D208-I208</f>
        <v>-189</v>
      </c>
    </row>
    <row r="209" spans="1:10" x14ac:dyDescent="0.25">
      <c r="A209" s="10">
        <v>534811</v>
      </c>
      <c r="B209" s="6" t="s">
        <v>249</v>
      </c>
      <c r="C209" s="7">
        <v>53</v>
      </c>
      <c r="D209" s="7">
        <v>0</v>
      </c>
      <c r="E209" s="8">
        <v>46191.570451388892</v>
      </c>
      <c r="F209" s="9">
        <v>46191</v>
      </c>
      <c r="G209" s="6" t="s">
        <v>202</v>
      </c>
      <c r="H209" s="12" t="s">
        <v>496</v>
      </c>
      <c r="I209" s="12" t="str">
        <f>IFERROR(VLOOKUP(A209,Hoja2!A:C,3,FALSE),"0")</f>
        <v>0</v>
      </c>
      <c r="J209" s="13">
        <f>+D209-I209</f>
        <v>0</v>
      </c>
    </row>
    <row r="210" spans="1:10" x14ac:dyDescent="0.25">
      <c r="A210" s="10">
        <v>535112</v>
      </c>
      <c r="B210" s="6" t="s">
        <v>258</v>
      </c>
      <c r="C210" s="7">
        <v>0</v>
      </c>
      <c r="D210" s="7">
        <v>0</v>
      </c>
      <c r="E210" s="8">
        <v>46190.374699074076</v>
      </c>
      <c r="F210" s="9">
        <v>46190</v>
      </c>
      <c r="G210" s="6" t="s">
        <v>202</v>
      </c>
      <c r="H210" s="12" t="s">
        <v>496</v>
      </c>
      <c r="I210" s="12" t="str">
        <f>IFERROR(VLOOKUP(A210,Hoja2!A:C,3,FALSE),"0")</f>
        <v>0</v>
      </c>
      <c r="J210" s="13">
        <f>+D210-I210</f>
        <v>0</v>
      </c>
    </row>
    <row r="211" spans="1:10" x14ac:dyDescent="0.25">
      <c r="A211" s="10">
        <v>535113</v>
      </c>
      <c r="B211" s="6" t="s">
        <v>260</v>
      </c>
      <c r="C211" s="7">
        <v>0</v>
      </c>
      <c r="D211" s="7">
        <v>0</v>
      </c>
      <c r="E211" s="8">
        <v>46190.458101851851</v>
      </c>
      <c r="F211" s="9">
        <v>46190</v>
      </c>
      <c r="G211" s="6" t="s">
        <v>202</v>
      </c>
      <c r="H211" s="12" t="s">
        <v>496</v>
      </c>
      <c r="I211" s="12" t="str">
        <f>IFERROR(VLOOKUP(A211,Hoja2!A:C,3,FALSE),"0")</f>
        <v>0</v>
      </c>
      <c r="J211" s="13">
        <f>+D211-I211</f>
        <v>0</v>
      </c>
    </row>
    <row r="212" spans="1:10" x14ac:dyDescent="0.25">
      <c r="A212" s="10">
        <v>535117</v>
      </c>
      <c r="B212" s="6" t="s">
        <v>241</v>
      </c>
      <c r="C212" s="7">
        <v>0</v>
      </c>
      <c r="D212" s="7">
        <v>0</v>
      </c>
      <c r="E212" s="8">
        <v>46203.506192129629</v>
      </c>
      <c r="F212" s="9">
        <v>46203</v>
      </c>
      <c r="G212" s="6" t="s">
        <v>202</v>
      </c>
      <c r="H212" s="12" t="s">
        <v>496</v>
      </c>
      <c r="I212" s="12" t="str">
        <f>IFERROR(VLOOKUP(A212,Hoja2!A:C,3,FALSE),"0")</f>
        <v>0</v>
      </c>
      <c r="J212" s="13">
        <f>+D212-I212</f>
        <v>0</v>
      </c>
    </row>
    <row r="213" spans="1:10" x14ac:dyDescent="0.25">
      <c r="A213" s="10">
        <v>535118</v>
      </c>
      <c r="B213" s="6" t="s">
        <v>242</v>
      </c>
      <c r="C213" s="7">
        <v>0</v>
      </c>
      <c r="D213" s="7">
        <v>0</v>
      </c>
      <c r="E213" s="8">
        <v>46190.456006944441</v>
      </c>
      <c r="F213" s="9">
        <v>46190</v>
      </c>
      <c r="G213" s="6" t="s">
        <v>202</v>
      </c>
      <c r="H213" s="12" t="s">
        <v>496</v>
      </c>
      <c r="I213" s="12" t="str">
        <f>IFERROR(VLOOKUP(A213,Hoja2!A:C,3,FALSE),"0")</f>
        <v>0</v>
      </c>
      <c r="J213" s="13">
        <f>+D213-I213</f>
        <v>0</v>
      </c>
    </row>
    <row r="214" spans="1:10" x14ac:dyDescent="0.25">
      <c r="A214" s="10">
        <v>535131</v>
      </c>
      <c r="B214" s="6" t="s">
        <v>280</v>
      </c>
      <c r="C214" s="7">
        <v>145</v>
      </c>
      <c r="D214" s="7">
        <v>0</v>
      </c>
      <c r="E214" s="8">
        <v>46193.535763888889</v>
      </c>
      <c r="F214" s="9">
        <v>46193</v>
      </c>
      <c r="G214" s="6" t="s">
        <v>202</v>
      </c>
      <c r="H214" s="12" t="s">
        <v>496</v>
      </c>
      <c r="I214" s="12" t="str">
        <f>IFERROR(VLOOKUP(A214,Hoja2!A:C,3,FALSE),"0")</f>
        <v>0</v>
      </c>
      <c r="J214" s="13">
        <f>+D214-I214</f>
        <v>0</v>
      </c>
    </row>
    <row r="215" spans="1:10" x14ac:dyDescent="0.25">
      <c r="A215" s="10">
        <v>535134</v>
      </c>
      <c r="B215" s="6" t="s">
        <v>243</v>
      </c>
      <c r="C215" s="7">
        <v>0</v>
      </c>
      <c r="D215" s="7">
        <v>0</v>
      </c>
      <c r="E215" s="8">
        <v>46190.457685185182</v>
      </c>
      <c r="F215" s="9">
        <v>46190</v>
      </c>
      <c r="G215" s="6" t="s">
        <v>202</v>
      </c>
      <c r="H215" s="12" t="s">
        <v>496</v>
      </c>
      <c r="I215" s="12" t="str">
        <f>IFERROR(VLOOKUP(A215,Hoja2!A:C,3,FALSE),"0")</f>
        <v>0</v>
      </c>
      <c r="J215" s="13">
        <f>+D215-I215</f>
        <v>0</v>
      </c>
    </row>
    <row r="216" spans="1:10" x14ac:dyDescent="0.25">
      <c r="A216" s="10">
        <v>535135</v>
      </c>
      <c r="B216" s="6" t="s">
        <v>244</v>
      </c>
      <c r="C216" s="7">
        <v>0</v>
      </c>
      <c r="D216" s="7">
        <v>0</v>
      </c>
      <c r="E216" s="8">
        <v>46190.457685185182</v>
      </c>
      <c r="F216" s="9">
        <v>46190</v>
      </c>
      <c r="G216" s="6" t="s">
        <v>202</v>
      </c>
      <c r="H216" s="12" t="s">
        <v>496</v>
      </c>
      <c r="I216" s="12" t="str">
        <f>IFERROR(VLOOKUP(A216,Hoja2!A:C,3,FALSE),"0")</f>
        <v>0</v>
      </c>
      <c r="J216" s="13">
        <f>+D216-I216</f>
        <v>0</v>
      </c>
    </row>
    <row r="217" spans="1:10" x14ac:dyDescent="0.25">
      <c r="A217" s="10">
        <v>535136</v>
      </c>
      <c r="B217" s="6" t="s">
        <v>245</v>
      </c>
      <c r="C217" s="7">
        <v>0</v>
      </c>
      <c r="D217" s="7">
        <v>0</v>
      </c>
      <c r="E217" s="8">
        <v>46193.410856481481</v>
      </c>
      <c r="F217" s="9">
        <v>46193</v>
      </c>
      <c r="G217" s="6" t="s">
        <v>91</v>
      </c>
      <c r="H217" s="12" t="s">
        <v>496</v>
      </c>
      <c r="I217" s="12" t="str">
        <f>IFERROR(VLOOKUP(A217,Hoja2!A:C,3,FALSE),"0")</f>
        <v>0</v>
      </c>
      <c r="J217" s="13">
        <f>+D217-I217</f>
        <v>0</v>
      </c>
    </row>
    <row r="218" spans="1:10" x14ac:dyDescent="0.25">
      <c r="A218" s="10">
        <v>535137</v>
      </c>
      <c r="B218" s="6" t="s">
        <v>246</v>
      </c>
      <c r="C218" s="7">
        <v>0</v>
      </c>
      <c r="D218" s="7">
        <v>0</v>
      </c>
      <c r="E218" s="8">
        <v>46193.410856481481</v>
      </c>
      <c r="F218" s="9">
        <v>46193</v>
      </c>
      <c r="G218" s="6" t="s">
        <v>91</v>
      </c>
      <c r="H218" s="12" t="s">
        <v>496</v>
      </c>
      <c r="I218" s="12" t="str">
        <f>IFERROR(VLOOKUP(A218,Hoja2!A:C,3,FALSE),"0")</f>
        <v>0</v>
      </c>
      <c r="J218" s="13">
        <f>+D218-I218</f>
        <v>0</v>
      </c>
    </row>
    <row r="219" spans="1:10" x14ac:dyDescent="0.25">
      <c r="A219" s="10">
        <v>535138</v>
      </c>
      <c r="B219" s="6" t="s">
        <v>247</v>
      </c>
      <c r="C219" s="7">
        <v>0</v>
      </c>
      <c r="D219" s="7">
        <v>0</v>
      </c>
      <c r="E219" s="8">
        <v>46193.410856481481</v>
      </c>
      <c r="F219" s="9">
        <v>46193</v>
      </c>
      <c r="G219" s="6" t="s">
        <v>91</v>
      </c>
      <c r="H219" s="12" t="s">
        <v>496</v>
      </c>
      <c r="I219" s="12" t="str">
        <f>IFERROR(VLOOKUP(A219,Hoja2!A:C,3,FALSE),"0")</f>
        <v>0</v>
      </c>
      <c r="J219" s="13">
        <f>+D219-I219</f>
        <v>0</v>
      </c>
    </row>
    <row r="220" spans="1:10" x14ac:dyDescent="0.25">
      <c r="A220" s="10">
        <v>535700</v>
      </c>
      <c r="B220" s="6" t="s">
        <v>97</v>
      </c>
      <c r="C220" s="7">
        <v>192</v>
      </c>
      <c r="D220" s="7">
        <v>0</v>
      </c>
      <c r="E220" s="8">
        <v>46295.520185185182</v>
      </c>
      <c r="F220" s="9">
        <v>46295</v>
      </c>
      <c r="G220" s="6" t="s">
        <v>98</v>
      </c>
      <c r="H220" s="12" t="s">
        <v>496</v>
      </c>
      <c r="I220" s="12">
        <f>IFERROR(VLOOKUP(A220,Hoja2!A:C,3,FALSE),"0")</f>
        <v>100</v>
      </c>
      <c r="J220" s="13">
        <f>+D220-I220</f>
        <v>-100</v>
      </c>
    </row>
    <row r="221" spans="1:10" x14ac:dyDescent="0.25">
      <c r="A221" s="10">
        <v>535702</v>
      </c>
      <c r="B221" s="6" t="s">
        <v>211</v>
      </c>
      <c r="C221" s="7">
        <v>437</v>
      </c>
      <c r="D221" s="7">
        <v>170</v>
      </c>
      <c r="E221" s="8">
        <v>46295.520185185182</v>
      </c>
      <c r="F221" s="9">
        <v>46295</v>
      </c>
      <c r="G221" s="6" t="s">
        <v>98</v>
      </c>
      <c r="H221" s="12" t="s">
        <v>496</v>
      </c>
      <c r="I221" s="12">
        <f>IFERROR(VLOOKUP(A221,Hoja2!A:C,3,FALSE),"0")</f>
        <v>480</v>
      </c>
      <c r="J221" s="13">
        <f>+D221-I221</f>
        <v>-310</v>
      </c>
    </row>
    <row r="222" spans="1:10" x14ac:dyDescent="0.25">
      <c r="A222" s="10">
        <v>535706</v>
      </c>
      <c r="B222" s="6" t="s">
        <v>369</v>
      </c>
      <c r="C222" s="7">
        <v>0</v>
      </c>
      <c r="D222" s="7">
        <v>0</v>
      </c>
      <c r="E222" s="8">
        <v>46268.584166666667</v>
      </c>
      <c r="F222" s="9">
        <v>46268</v>
      </c>
      <c r="G222" s="6" t="s">
        <v>98</v>
      </c>
      <c r="H222" s="12" t="s">
        <v>496</v>
      </c>
      <c r="I222" s="12" t="str">
        <f>IFERROR(VLOOKUP(A222,Hoja2!A:C,3,FALSE),"0")</f>
        <v>0</v>
      </c>
      <c r="J222" s="13">
        <f>+D222-I222</f>
        <v>0</v>
      </c>
    </row>
    <row r="223" spans="1:10" x14ac:dyDescent="0.25">
      <c r="A223" s="10">
        <v>535801</v>
      </c>
      <c r="B223" s="6" t="s">
        <v>99</v>
      </c>
      <c r="C223" s="7">
        <v>0</v>
      </c>
      <c r="D223" s="7">
        <v>121</v>
      </c>
      <c r="E223" s="8">
        <v>46288.082407407404</v>
      </c>
      <c r="F223" s="9">
        <v>46288</v>
      </c>
      <c r="G223" s="6" t="s">
        <v>98</v>
      </c>
      <c r="H223" s="12" t="s">
        <v>496</v>
      </c>
      <c r="I223" s="12" t="str">
        <f>IFERROR(VLOOKUP(A223,Hoja2!A:C,3,FALSE),"0")</f>
        <v>0</v>
      </c>
      <c r="J223" s="13">
        <f>+D223-I223</f>
        <v>121</v>
      </c>
    </row>
    <row r="224" spans="1:10" x14ac:dyDescent="0.25">
      <c r="A224" s="10">
        <v>535805</v>
      </c>
      <c r="B224" s="6" t="s">
        <v>100</v>
      </c>
      <c r="C224" s="7">
        <v>417</v>
      </c>
      <c r="D224" s="7">
        <v>154</v>
      </c>
      <c r="E224" s="8">
        <v>46295.520185185182</v>
      </c>
      <c r="F224" s="9">
        <v>46295</v>
      </c>
      <c r="G224" s="6" t="s">
        <v>98</v>
      </c>
      <c r="H224" s="12" t="s">
        <v>496</v>
      </c>
      <c r="I224" s="12">
        <f>IFERROR(VLOOKUP(A224,Hoja2!A:C,3,FALSE),"0")</f>
        <v>480</v>
      </c>
      <c r="J224" s="13">
        <f>+D224-I224</f>
        <v>-326</v>
      </c>
    </row>
    <row r="225" spans="1:10" x14ac:dyDescent="0.25">
      <c r="A225" s="10">
        <v>540011</v>
      </c>
      <c r="B225" s="6" t="s">
        <v>311</v>
      </c>
      <c r="C225" s="7">
        <v>0</v>
      </c>
      <c r="D225" s="7">
        <v>0</v>
      </c>
      <c r="E225" s="8">
        <v>46205.430636574078</v>
      </c>
      <c r="F225" s="9">
        <v>46205</v>
      </c>
      <c r="G225" s="6" t="s">
        <v>35</v>
      </c>
      <c r="H225" s="12" t="s">
        <v>496</v>
      </c>
      <c r="I225" s="12" t="str">
        <f>IFERROR(VLOOKUP(A225,Hoja2!A:C,3,FALSE),"0")</f>
        <v>0</v>
      </c>
      <c r="J225" s="13">
        <f>+D225-I225</f>
        <v>0</v>
      </c>
    </row>
    <row r="226" spans="1:10" x14ac:dyDescent="0.25">
      <c r="A226" s="10">
        <v>540012</v>
      </c>
      <c r="B226" s="6" t="s">
        <v>101</v>
      </c>
      <c r="C226" s="7">
        <v>0</v>
      </c>
      <c r="D226" s="7">
        <v>1169</v>
      </c>
      <c r="E226" s="8">
        <v>46295.52484953704</v>
      </c>
      <c r="F226" s="9">
        <v>46295</v>
      </c>
      <c r="G226" s="6" t="s">
        <v>35</v>
      </c>
      <c r="H226" s="12" t="s">
        <v>496</v>
      </c>
      <c r="I226" s="12">
        <f>IFERROR(VLOOKUP(A226,Hoja2!A:C,3,FALSE),"0")</f>
        <v>720</v>
      </c>
      <c r="J226" s="13">
        <f>+D226-I226</f>
        <v>449</v>
      </c>
    </row>
    <row r="227" spans="1:10" x14ac:dyDescent="0.25">
      <c r="A227" s="10">
        <v>540014</v>
      </c>
      <c r="B227" s="6" t="s">
        <v>357</v>
      </c>
      <c r="C227" s="7">
        <v>0</v>
      </c>
      <c r="D227" s="7">
        <v>49</v>
      </c>
      <c r="E227" s="8">
        <v>46294.970300925925</v>
      </c>
      <c r="F227" s="9">
        <v>46294</v>
      </c>
      <c r="G227" s="6" t="s">
        <v>35</v>
      </c>
      <c r="H227" s="12" t="s">
        <v>496</v>
      </c>
      <c r="I227" s="12" t="str">
        <f>IFERROR(VLOOKUP(A227,Hoja2!A:C,3,FALSE),"0")</f>
        <v>0</v>
      </c>
      <c r="J227" s="13">
        <f>+D227-I227</f>
        <v>49</v>
      </c>
    </row>
    <row r="228" spans="1:10" x14ac:dyDescent="0.25">
      <c r="A228" s="10">
        <v>540024</v>
      </c>
      <c r="B228" s="6" t="s">
        <v>102</v>
      </c>
      <c r="C228" s="7">
        <v>285</v>
      </c>
      <c r="D228" s="7">
        <v>122</v>
      </c>
      <c r="E228" s="8">
        <v>46295.520185185182</v>
      </c>
      <c r="F228" s="9">
        <v>46295</v>
      </c>
      <c r="G228" s="6" t="s">
        <v>35</v>
      </c>
      <c r="H228" s="12" t="s">
        <v>496</v>
      </c>
      <c r="I228" s="12">
        <f>IFERROR(VLOOKUP(A228,Hoja2!A:C,3,FALSE),"0")</f>
        <v>144</v>
      </c>
      <c r="J228" s="13">
        <f>+D228-I228</f>
        <v>-22</v>
      </c>
    </row>
    <row r="229" spans="1:10" x14ac:dyDescent="0.25">
      <c r="A229" s="10">
        <v>540028</v>
      </c>
      <c r="B229" s="6" t="s">
        <v>306</v>
      </c>
      <c r="C229" s="7">
        <v>0</v>
      </c>
      <c r="D229" s="7">
        <v>0</v>
      </c>
      <c r="E229" s="8">
        <v>46253.607824074075</v>
      </c>
      <c r="F229" s="9">
        <v>46253</v>
      </c>
      <c r="G229" s="6" t="s">
        <v>35</v>
      </c>
      <c r="H229" s="12" t="s">
        <v>496</v>
      </c>
      <c r="I229" s="12" t="str">
        <f>IFERROR(VLOOKUP(A229,Hoja2!A:C,3,FALSE),"0")</f>
        <v>0</v>
      </c>
      <c r="J229" s="13">
        <f>+D229-I229</f>
        <v>0</v>
      </c>
    </row>
    <row r="230" spans="1:10" x14ac:dyDescent="0.25">
      <c r="A230" s="10">
        <v>540035</v>
      </c>
      <c r="B230" s="6" t="s">
        <v>279</v>
      </c>
      <c r="C230" s="7">
        <v>126</v>
      </c>
      <c r="D230" s="7">
        <v>182</v>
      </c>
      <c r="E230" s="8">
        <v>46295.520185185182</v>
      </c>
      <c r="F230" s="9">
        <v>46295</v>
      </c>
      <c r="G230" s="6" t="s">
        <v>35</v>
      </c>
      <c r="H230" s="12" t="s">
        <v>496</v>
      </c>
      <c r="I230" s="12">
        <f>IFERROR(VLOOKUP(A230,Hoja2!A:C,3,FALSE),"0")</f>
        <v>180</v>
      </c>
      <c r="J230" s="13">
        <f>+D230-I230</f>
        <v>2</v>
      </c>
    </row>
    <row r="231" spans="1:10" x14ac:dyDescent="0.25">
      <c r="A231" s="10">
        <v>540036</v>
      </c>
      <c r="B231" s="6" t="s">
        <v>103</v>
      </c>
      <c r="C231" s="7">
        <v>58</v>
      </c>
      <c r="D231" s="7">
        <v>238</v>
      </c>
      <c r="E231" s="8">
        <v>46295.520185185182</v>
      </c>
      <c r="F231" s="9">
        <v>46295</v>
      </c>
      <c r="G231" s="6" t="s">
        <v>35</v>
      </c>
      <c r="H231" s="12" t="s">
        <v>496</v>
      </c>
      <c r="I231" s="12">
        <f>IFERROR(VLOOKUP(A231,Hoja2!A:C,3,FALSE),"0")</f>
        <v>48</v>
      </c>
      <c r="J231" s="13">
        <f>+D231-I231</f>
        <v>190</v>
      </c>
    </row>
    <row r="232" spans="1:10" x14ac:dyDescent="0.25">
      <c r="A232" s="10">
        <v>540037</v>
      </c>
      <c r="B232" s="6" t="s">
        <v>104</v>
      </c>
      <c r="C232" s="7">
        <v>0</v>
      </c>
      <c r="D232" s="7">
        <v>0</v>
      </c>
      <c r="E232" s="8">
        <v>46205.430636574078</v>
      </c>
      <c r="F232" s="9">
        <v>46205</v>
      </c>
      <c r="G232" s="6" t="s">
        <v>35</v>
      </c>
      <c r="H232" s="12" t="s">
        <v>496</v>
      </c>
      <c r="I232" s="12" t="str">
        <f>IFERROR(VLOOKUP(A232,Hoja2!A:C,3,FALSE),"0")</f>
        <v>0</v>
      </c>
      <c r="J232" s="13">
        <f>+D232-I232</f>
        <v>0</v>
      </c>
    </row>
    <row r="233" spans="1:10" x14ac:dyDescent="0.25">
      <c r="A233" s="10">
        <v>540041</v>
      </c>
      <c r="B233" s="6" t="s">
        <v>271</v>
      </c>
      <c r="C233" s="7">
        <v>0</v>
      </c>
      <c r="D233" s="7">
        <v>0</v>
      </c>
      <c r="E233" s="8">
        <v>46193.463055555556</v>
      </c>
      <c r="F233" s="9">
        <v>46193</v>
      </c>
      <c r="G233" s="6" t="s">
        <v>35</v>
      </c>
      <c r="H233" s="12" t="s">
        <v>496</v>
      </c>
      <c r="I233" s="12" t="str">
        <f>IFERROR(VLOOKUP(A233,Hoja2!A:C,3,FALSE),"0")</f>
        <v>0</v>
      </c>
      <c r="J233" s="13">
        <f>+D233-I233</f>
        <v>0</v>
      </c>
    </row>
    <row r="234" spans="1:10" x14ac:dyDescent="0.25">
      <c r="A234" s="10">
        <v>540065</v>
      </c>
      <c r="B234" s="6" t="s">
        <v>105</v>
      </c>
      <c r="C234" s="7">
        <v>0</v>
      </c>
      <c r="D234" s="7">
        <v>0</v>
      </c>
      <c r="E234" s="8">
        <v>46205.430636574078</v>
      </c>
      <c r="F234" s="9">
        <v>46205</v>
      </c>
      <c r="G234" s="6" t="s">
        <v>35</v>
      </c>
      <c r="H234" s="12" t="s">
        <v>496</v>
      </c>
      <c r="I234" s="12" t="str">
        <f>IFERROR(VLOOKUP(A234,Hoja2!A:C,3,FALSE),"0")</f>
        <v>0</v>
      </c>
      <c r="J234" s="13">
        <f>+D234-I234</f>
        <v>0</v>
      </c>
    </row>
    <row r="235" spans="1:10" x14ac:dyDescent="0.25">
      <c r="A235" s="10">
        <v>540090</v>
      </c>
      <c r="B235" s="6" t="s">
        <v>363</v>
      </c>
      <c r="C235" s="7">
        <v>37</v>
      </c>
      <c r="D235" s="7">
        <v>151</v>
      </c>
      <c r="E235" s="8">
        <v>46294.986701388887</v>
      </c>
      <c r="F235" s="9">
        <v>46294</v>
      </c>
      <c r="G235" s="6" t="s">
        <v>35</v>
      </c>
      <c r="H235" s="12" t="s">
        <v>496</v>
      </c>
      <c r="I235" s="12" t="str">
        <f>IFERROR(VLOOKUP(A235,Hoja2!A:C,3,FALSE),"0")</f>
        <v>0</v>
      </c>
      <c r="J235" s="13">
        <f>+D235-I235</f>
        <v>151</v>
      </c>
    </row>
    <row r="236" spans="1:10" x14ac:dyDescent="0.25">
      <c r="A236" s="10">
        <v>540092</v>
      </c>
      <c r="B236" s="6" t="s">
        <v>106</v>
      </c>
      <c r="C236" s="7">
        <v>24</v>
      </c>
      <c r="D236" s="7">
        <v>118</v>
      </c>
      <c r="E236" s="8">
        <v>46294.970300925925</v>
      </c>
      <c r="F236" s="9">
        <v>46294</v>
      </c>
      <c r="G236" s="6" t="s">
        <v>35</v>
      </c>
      <c r="H236" s="12" t="s">
        <v>496</v>
      </c>
      <c r="I236" s="12" t="str">
        <f>IFERROR(VLOOKUP(A236,Hoja2!A:C,3,FALSE),"0")</f>
        <v>0</v>
      </c>
      <c r="J236" s="13">
        <f>+D236-I236</f>
        <v>118</v>
      </c>
    </row>
    <row r="237" spans="1:10" x14ac:dyDescent="0.25">
      <c r="A237" s="10">
        <v>540093</v>
      </c>
      <c r="B237" s="6" t="s">
        <v>312</v>
      </c>
      <c r="C237" s="7">
        <v>0</v>
      </c>
      <c r="D237" s="7">
        <v>51</v>
      </c>
      <c r="E237" s="8">
        <v>46246.505578703705</v>
      </c>
      <c r="F237" s="9">
        <v>46246</v>
      </c>
      <c r="G237" s="6" t="s">
        <v>35</v>
      </c>
      <c r="H237" s="12" t="s">
        <v>496</v>
      </c>
      <c r="I237" s="12" t="str">
        <f>IFERROR(VLOOKUP(A237,Hoja2!A:C,3,FALSE),"0")</f>
        <v>0</v>
      </c>
      <c r="J237" s="13">
        <f>+D237-I237</f>
        <v>51</v>
      </c>
    </row>
    <row r="238" spans="1:10" x14ac:dyDescent="0.25">
      <c r="A238" s="10">
        <v>540094</v>
      </c>
      <c r="B238" s="6" t="s">
        <v>321</v>
      </c>
      <c r="C238" s="7">
        <v>66</v>
      </c>
      <c r="D238" s="7">
        <v>212</v>
      </c>
      <c r="E238" s="8">
        <v>46295.522037037037</v>
      </c>
      <c r="F238" s="9">
        <v>46295</v>
      </c>
      <c r="G238" s="6" t="s">
        <v>35</v>
      </c>
      <c r="H238" s="12" t="s">
        <v>496</v>
      </c>
      <c r="I238" s="12">
        <f>IFERROR(VLOOKUP(A238,Hoja2!A:C,3,FALSE),"0")</f>
        <v>96</v>
      </c>
      <c r="J238" s="13">
        <f>+D238-I238</f>
        <v>116</v>
      </c>
    </row>
    <row r="239" spans="1:10" x14ac:dyDescent="0.25">
      <c r="A239" s="10">
        <v>540096</v>
      </c>
      <c r="B239" s="6" t="s">
        <v>333</v>
      </c>
      <c r="C239" s="7">
        <v>49</v>
      </c>
      <c r="D239" s="7">
        <v>90</v>
      </c>
      <c r="E239" s="8">
        <v>46295.52484953704</v>
      </c>
      <c r="F239" s="9">
        <v>46295</v>
      </c>
      <c r="G239" s="6" t="s">
        <v>35</v>
      </c>
      <c r="H239" s="12" t="s">
        <v>496</v>
      </c>
      <c r="I239" s="12">
        <f>IFERROR(VLOOKUP(A239,Hoja2!A:C,3,FALSE),"0")</f>
        <v>120</v>
      </c>
      <c r="J239" s="13">
        <f>+D239-I239</f>
        <v>-30</v>
      </c>
    </row>
    <row r="240" spans="1:10" x14ac:dyDescent="0.25">
      <c r="A240" s="10">
        <v>540098</v>
      </c>
      <c r="B240" s="6" t="s">
        <v>334</v>
      </c>
      <c r="C240" s="7">
        <v>13</v>
      </c>
      <c r="D240" s="7">
        <v>118</v>
      </c>
      <c r="E240" s="8">
        <v>46295.52484953704</v>
      </c>
      <c r="F240" s="9">
        <v>46295</v>
      </c>
      <c r="G240" s="6" t="s">
        <v>35</v>
      </c>
      <c r="H240" s="12" t="s">
        <v>496</v>
      </c>
      <c r="I240" s="12">
        <f>IFERROR(VLOOKUP(A240,Hoja2!A:C,3,FALSE),"0")</f>
        <v>56</v>
      </c>
      <c r="J240" s="13">
        <f>+D240-I240</f>
        <v>62</v>
      </c>
    </row>
    <row r="241" spans="1:10" x14ac:dyDescent="0.25">
      <c r="A241" s="10">
        <v>540102</v>
      </c>
      <c r="B241" s="6" t="s">
        <v>350</v>
      </c>
      <c r="C241" s="7">
        <v>21</v>
      </c>
      <c r="D241" s="7">
        <v>60</v>
      </c>
      <c r="E241" s="8">
        <v>46295.522037037037</v>
      </c>
      <c r="F241" s="9">
        <v>46295</v>
      </c>
      <c r="G241" s="6" t="s">
        <v>35</v>
      </c>
      <c r="H241" s="12" t="s">
        <v>496</v>
      </c>
      <c r="I241" s="12">
        <f>IFERROR(VLOOKUP(A241,Hoja2!A:C,3,FALSE),"0")</f>
        <v>48</v>
      </c>
      <c r="J241" s="13">
        <f>+D241-I241</f>
        <v>12</v>
      </c>
    </row>
    <row r="242" spans="1:10" x14ac:dyDescent="0.25">
      <c r="A242" s="10">
        <v>540104</v>
      </c>
      <c r="B242" s="6" t="s">
        <v>322</v>
      </c>
      <c r="C242" s="7">
        <v>0</v>
      </c>
      <c r="D242" s="7">
        <v>67</v>
      </c>
      <c r="E242" s="8">
        <v>46281.504513888889</v>
      </c>
      <c r="F242" s="9">
        <v>46281</v>
      </c>
      <c r="G242" s="6" t="s">
        <v>35</v>
      </c>
      <c r="H242" s="12" t="s">
        <v>496</v>
      </c>
      <c r="I242" s="12" t="str">
        <f>IFERROR(VLOOKUP(A242,Hoja2!A:C,3,FALSE),"0")</f>
        <v>0</v>
      </c>
      <c r="J242" s="13">
        <f>+D242-I242</f>
        <v>67</v>
      </c>
    </row>
    <row r="243" spans="1:10" x14ac:dyDescent="0.25">
      <c r="A243" s="10">
        <v>540106</v>
      </c>
      <c r="B243" s="6" t="s">
        <v>320</v>
      </c>
      <c r="C243" s="7">
        <v>160</v>
      </c>
      <c r="D243" s="7">
        <v>500</v>
      </c>
      <c r="E243" s="8">
        <v>46295.520185185182</v>
      </c>
      <c r="F243" s="9">
        <v>46295</v>
      </c>
      <c r="G243" s="6" t="s">
        <v>35</v>
      </c>
      <c r="H243" s="12" t="s">
        <v>496</v>
      </c>
      <c r="I243" s="12">
        <f>IFERROR(VLOOKUP(A243,Hoja2!A:C,3,FALSE),"0")</f>
        <v>180</v>
      </c>
      <c r="J243" s="13">
        <f>+D243-I243</f>
        <v>320</v>
      </c>
    </row>
    <row r="244" spans="1:10" x14ac:dyDescent="0.25">
      <c r="A244" s="10">
        <v>540107</v>
      </c>
      <c r="B244" s="6" t="s">
        <v>313</v>
      </c>
      <c r="C244" s="7">
        <v>0</v>
      </c>
      <c r="D244" s="7">
        <v>98</v>
      </c>
      <c r="E244" s="8">
        <v>46288.348391203705</v>
      </c>
      <c r="F244" s="9">
        <v>46288</v>
      </c>
      <c r="G244" s="6" t="s">
        <v>35</v>
      </c>
      <c r="H244" s="12" t="s">
        <v>496</v>
      </c>
      <c r="I244" s="12" t="str">
        <f>IFERROR(VLOOKUP(A244,Hoja2!A:C,3,FALSE),"0")</f>
        <v>0</v>
      </c>
      <c r="J244" s="13">
        <f>+D244-I244</f>
        <v>98</v>
      </c>
    </row>
    <row r="245" spans="1:10" x14ac:dyDescent="0.25">
      <c r="A245" s="10">
        <v>540108</v>
      </c>
      <c r="B245" s="6" t="s">
        <v>323</v>
      </c>
      <c r="C245" s="7">
        <v>136</v>
      </c>
      <c r="D245" s="7">
        <v>233</v>
      </c>
      <c r="E245" s="8">
        <v>46294.986701388887</v>
      </c>
      <c r="F245" s="9">
        <v>46294</v>
      </c>
      <c r="G245" s="6" t="s">
        <v>35</v>
      </c>
      <c r="H245" s="12" t="s">
        <v>496</v>
      </c>
      <c r="I245" s="12" t="str">
        <f>IFERROR(VLOOKUP(A245,Hoja2!A:C,3,FALSE),"0")</f>
        <v>0</v>
      </c>
      <c r="J245" s="13">
        <f>+D245-I245</f>
        <v>233</v>
      </c>
    </row>
    <row r="246" spans="1:10" x14ac:dyDescent="0.25">
      <c r="A246" s="10">
        <v>540111</v>
      </c>
      <c r="B246" s="6" t="s">
        <v>364</v>
      </c>
      <c r="C246" s="7">
        <v>0</v>
      </c>
      <c r="D246" s="7">
        <v>768</v>
      </c>
      <c r="E246" s="8">
        <v>46295.528425925928</v>
      </c>
      <c r="F246" s="9">
        <v>46295</v>
      </c>
      <c r="G246" s="6" t="s">
        <v>35</v>
      </c>
      <c r="H246" s="12" t="s">
        <v>496</v>
      </c>
      <c r="I246" s="12">
        <f>IFERROR(VLOOKUP(A246,Hoja2!A:C,3,FALSE),"0")</f>
        <v>240</v>
      </c>
      <c r="J246" s="13">
        <f>+D246-I246</f>
        <v>528</v>
      </c>
    </row>
    <row r="247" spans="1:10" x14ac:dyDescent="0.25">
      <c r="A247" s="10">
        <v>540114</v>
      </c>
      <c r="B247" s="6" t="s">
        <v>336</v>
      </c>
      <c r="C247" s="7">
        <v>27</v>
      </c>
      <c r="D247" s="7">
        <v>46</v>
      </c>
      <c r="E247" s="8">
        <v>46294.970300925925</v>
      </c>
      <c r="F247" s="9">
        <v>46294</v>
      </c>
      <c r="G247" s="6" t="s">
        <v>35</v>
      </c>
      <c r="H247" s="12" t="s">
        <v>496</v>
      </c>
      <c r="I247" s="12" t="str">
        <f>IFERROR(VLOOKUP(A247,Hoja2!A:C,3,FALSE),"0")</f>
        <v>0</v>
      </c>
      <c r="J247" s="13">
        <f>+D247-I247</f>
        <v>46</v>
      </c>
    </row>
    <row r="248" spans="1:10" x14ac:dyDescent="0.25">
      <c r="A248" s="10">
        <v>540117</v>
      </c>
      <c r="B248" s="6" t="s">
        <v>402</v>
      </c>
      <c r="C248" s="7">
        <v>0</v>
      </c>
      <c r="D248" s="7">
        <v>26</v>
      </c>
      <c r="E248" s="8">
        <v>46295.515787037039</v>
      </c>
      <c r="F248" s="9">
        <v>46295</v>
      </c>
      <c r="G248" s="6" t="s">
        <v>35</v>
      </c>
      <c r="H248" s="12" t="s">
        <v>496</v>
      </c>
      <c r="I248" s="12">
        <f>IFERROR(VLOOKUP(A248,Hoja2!A:C,3,FALSE),"0")</f>
        <v>80</v>
      </c>
      <c r="J248" s="13">
        <f>+D248-I248</f>
        <v>-54</v>
      </c>
    </row>
    <row r="249" spans="1:10" x14ac:dyDescent="0.25">
      <c r="A249" s="10">
        <v>540189</v>
      </c>
      <c r="B249" s="6" t="s">
        <v>107</v>
      </c>
      <c r="C249" s="7">
        <v>0</v>
      </c>
      <c r="D249" s="7">
        <v>0</v>
      </c>
      <c r="E249" s="8">
        <v>46181.741770833331</v>
      </c>
      <c r="F249" s="9">
        <v>46181</v>
      </c>
      <c r="G249" s="6" t="s">
        <v>35</v>
      </c>
      <c r="H249" s="12" t="s">
        <v>496</v>
      </c>
      <c r="I249" s="12" t="str">
        <f>IFERROR(VLOOKUP(A249,Hoja2!A:C,3,FALSE),"0")</f>
        <v>0</v>
      </c>
      <c r="J249" s="13">
        <f>+D249-I249</f>
        <v>0</v>
      </c>
    </row>
    <row r="250" spans="1:10" x14ac:dyDescent="0.25">
      <c r="A250" s="10">
        <v>540304</v>
      </c>
      <c r="B250" s="6" t="s">
        <v>108</v>
      </c>
      <c r="C250" s="7">
        <v>167</v>
      </c>
      <c r="D250" s="7">
        <v>216</v>
      </c>
      <c r="E250" s="8">
        <v>46295.520185185182</v>
      </c>
      <c r="F250" s="9">
        <v>46295</v>
      </c>
      <c r="G250" s="6" t="s">
        <v>35</v>
      </c>
      <c r="H250" s="12" t="s">
        <v>496</v>
      </c>
      <c r="I250" s="12">
        <f>IFERROR(VLOOKUP(A250,Hoja2!A:C,3,FALSE),"0")</f>
        <v>120</v>
      </c>
      <c r="J250" s="13">
        <f>+D250-I250</f>
        <v>96</v>
      </c>
    </row>
    <row r="251" spans="1:10" x14ac:dyDescent="0.25">
      <c r="A251" s="10">
        <v>540305</v>
      </c>
      <c r="B251" s="6" t="s">
        <v>109</v>
      </c>
      <c r="C251" s="7">
        <v>233</v>
      </c>
      <c r="D251" s="7">
        <v>285</v>
      </c>
      <c r="E251" s="8">
        <v>46295.520185185182</v>
      </c>
      <c r="F251" s="9">
        <v>46295</v>
      </c>
      <c r="G251" s="6" t="s">
        <v>35</v>
      </c>
      <c r="H251" s="12" t="s">
        <v>496</v>
      </c>
      <c r="I251" s="12">
        <f>IFERROR(VLOOKUP(A251,Hoja2!A:C,3,FALSE),"0")</f>
        <v>120</v>
      </c>
      <c r="J251" s="13">
        <f>+D251-I251</f>
        <v>165</v>
      </c>
    </row>
    <row r="252" spans="1:10" x14ac:dyDescent="0.25">
      <c r="A252" s="10">
        <v>540309</v>
      </c>
      <c r="B252" s="6" t="s">
        <v>110</v>
      </c>
      <c r="C252" s="7">
        <v>0</v>
      </c>
      <c r="D252" s="7">
        <v>0</v>
      </c>
      <c r="E252" s="8">
        <v>46168.649386574078</v>
      </c>
      <c r="F252" s="9">
        <v>46168</v>
      </c>
      <c r="G252" s="6" t="s">
        <v>35</v>
      </c>
      <c r="H252" s="12" t="s">
        <v>496</v>
      </c>
      <c r="I252" s="12" t="str">
        <f>IFERROR(VLOOKUP(A252,Hoja2!A:C,3,FALSE),"0")</f>
        <v>0</v>
      </c>
      <c r="J252" s="13">
        <f>+D252-I252</f>
        <v>0</v>
      </c>
    </row>
    <row r="253" spans="1:10" x14ac:dyDescent="0.25">
      <c r="A253" s="10">
        <v>540316</v>
      </c>
      <c r="B253" s="6" t="s">
        <v>307</v>
      </c>
      <c r="C253" s="7">
        <v>320</v>
      </c>
      <c r="D253" s="7">
        <v>613</v>
      </c>
      <c r="E253" s="8">
        <v>46295.520185185182</v>
      </c>
      <c r="F253" s="9">
        <v>46295</v>
      </c>
      <c r="G253" s="6" t="s">
        <v>35</v>
      </c>
      <c r="H253" s="12" t="s">
        <v>496</v>
      </c>
      <c r="I253" s="12">
        <f>IFERROR(VLOOKUP(A253,Hoja2!A:C,3,FALSE),"0")</f>
        <v>360</v>
      </c>
      <c r="J253" s="13">
        <f>+D253-I253</f>
        <v>253</v>
      </c>
    </row>
    <row r="254" spans="1:10" x14ac:dyDescent="0.25">
      <c r="A254" s="10">
        <v>541042</v>
      </c>
      <c r="B254" s="6" t="s">
        <v>111</v>
      </c>
      <c r="C254" s="7">
        <v>0</v>
      </c>
      <c r="D254" s="7">
        <v>0</v>
      </c>
      <c r="E254" s="8">
        <v>46168.649386574078</v>
      </c>
      <c r="F254" s="9">
        <v>46168</v>
      </c>
      <c r="G254" s="6" t="s">
        <v>35</v>
      </c>
      <c r="H254" s="12" t="s">
        <v>496</v>
      </c>
      <c r="I254" s="12" t="str">
        <f>IFERROR(VLOOKUP(A254,Hoja2!A:C,3,FALSE),"0")</f>
        <v>0</v>
      </c>
      <c r="J254" s="13">
        <f>+D254-I254</f>
        <v>0</v>
      </c>
    </row>
    <row r="255" spans="1:10" x14ac:dyDescent="0.25">
      <c r="A255" s="10">
        <v>541308</v>
      </c>
      <c r="B255" s="6" t="s">
        <v>112</v>
      </c>
      <c r="C255" s="7">
        <v>0</v>
      </c>
      <c r="D255" s="7">
        <v>0</v>
      </c>
      <c r="E255" s="8">
        <v>46168.649386574078</v>
      </c>
      <c r="F255" s="9">
        <v>46168</v>
      </c>
      <c r="G255" s="6" t="s">
        <v>35</v>
      </c>
      <c r="H255" s="12" t="s">
        <v>496</v>
      </c>
      <c r="I255" s="12" t="str">
        <f>IFERROR(VLOOKUP(A255,Hoja2!A:C,3,FALSE),"0")</f>
        <v>0</v>
      </c>
      <c r="J255" s="13">
        <f>+D255-I255</f>
        <v>0</v>
      </c>
    </row>
    <row r="256" spans="1:10" x14ac:dyDescent="0.25">
      <c r="A256" s="10">
        <v>541504</v>
      </c>
      <c r="B256" s="6" t="s">
        <v>113</v>
      </c>
      <c r="C256" s="7">
        <v>118</v>
      </c>
      <c r="D256" s="7">
        <v>234</v>
      </c>
      <c r="E256" s="8">
        <v>46295.520798611113</v>
      </c>
      <c r="F256" s="9">
        <v>46295</v>
      </c>
      <c r="G256" s="6" t="s">
        <v>53</v>
      </c>
      <c r="H256" s="12" t="s">
        <v>496</v>
      </c>
      <c r="I256" s="12">
        <f>IFERROR(VLOOKUP(A256,Hoja2!A:C,3,FALSE),"0")</f>
        <v>108</v>
      </c>
      <c r="J256" s="13">
        <f>+D256-I256</f>
        <v>126</v>
      </c>
    </row>
    <row r="257" spans="1:10" x14ac:dyDescent="0.25">
      <c r="A257" s="10">
        <v>541505</v>
      </c>
      <c r="B257" s="6" t="s">
        <v>114</v>
      </c>
      <c r="C257" s="7">
        <v>57</v>
      </c>
      <c r="D257" s="7">
        <v>42</v>
      </c>
      <c r="E257" s="8">
        <v>46295.520798611113</v>
      </c>
      <c r="F257" s="9">
        <v>46295</v>
      </c>
      <c r="G257" s="6" t="s">
        <v>53</v>
      </c>
      <c r="H257" s="12" t="s">
        <v>496</v>
      </c>
      <c r="I257" s="12">
        <f>IFERROR(VLOOKUP(A257,Hoja2!A:C,3,FALSE),"0")</f>
        <v>90</v>
      </c>
      <c r="J257" s="13">
        <f>+D257-I257</f>
        <v>-48</v>
      </c>
    </row>
    <row r="258" spans="1:10" x14ac:dyDescent="0.25">
      <c r="A258" s="10">
        <v>541506</v>
      </c>
      <c r="B258" s="6" t="s">
        <v>115</v>
      </c>
      <c r="C258" s="7">
        <v>0</v>
      </c>
      <c r="D258" s="7">
        <v>9</v>
      </c>
      <c r="E258" s="8">
        <v>46193.459548611114</v>
      </c>
      <c r="F258" s="9">
        <v>46193</v>
      </c>
      <c r="G258" s="6" t="s">
        <v>53</v>
      </c>
      <c r="H258" s="12" t="s">
        <v>496</v>
      </c>
      <c r="I258" s="12" t="str">
        <f>IFERROR(VLOOKUP(A258,Hoja2!A:C,3,FALSE),"0")</f>
        <v>0</v>
      </c>
      <c r="J258" s="13">
        <f>+D258-I258</f>
        <v>9</v>
      </c>
    </row>
    <row r="259" spans="1:10" x14ac:dyDescent="0.25">
      <c r="A259" s="10">
        <v>541507</v>
      </c>
      <c r="B259" s="6" t="s">
        <v>116</v>
      </c>
      <c r="C259" s="7">
        <v>0</v>
      </c>
      <c r="D259" s="7">
        <v>68</v>
      </c>
      <c r="E259" s="8">
        <v>46288.615555555552</v>
      </c>
      <c r="F259" s="9">
        <v>46288</v>
      </c>
      <c r="G259" s="6" t="s">
        <v>53</v>
      </c>
      <c r="H259" s="12" t="s">
        <v>496</v>
      </c>
      <c r="I259" s="12" t="str">
        <f>IFERROR(VLOOKUP(A259,Hoja2!A:C,3,FALSE),"0")</f>
        <v>0</v>
      </c>
      <c r="J259" s="13">
        <f>+D259-I259</f>
        <v>68</v>
      </c>
    </row>
    <row r="260" spans="1:10" x14ac:dyDescent="0.25">
      <c r="A260" s="10">
        <v>541508</v>
      </c>
      <c r="B260" s="6" t="s">
        <v>117</v>
      </c>
      <c r="C260" s="7">
        <v>0</v>
      </c>
      <c r="D260" s="7">
        <v>29</v>
      </c>
      <c r="E260" s="8">
        <v>46288.615555555552</v>
      </c>
      <c r="F260" s="9">
        <v>46288</v>
      </c>
      <c r="G260" s="6" t="s">
        <v>53</v>
      </c>
      <c r="H260" s="12" t="s">
        <v>496</v>
      </c>
      <c r="I260" s="12" t="str">
        <f>IFERROR(VLOOKUP(A260,Hoja2!A:C,3,FALSE),"0")</f>
        <v>0</v>
      </c>
      <c r="J260" s="13">
        <f>+D260-I260</f>
        <v>29</v>
      </c>
    </row>
    <row r="261" spans="1:10" x14ac:dyDescent="0.25">
      <c r="A261" s="10">
        <v>541510</v>
      </c>
      <c r="B261" s="6" t="s">
        <v>118</v>
      </c>
      <c r="C261" s="7">
        <v>0</v>
      </c>
      <c r="D261" s="7">
        <v>235</v>
      </c>
      <c r="E261" s="8">
        <v>46295.520798611113</v>
      </c>
      <c r="F261" s="9">
        <v>46295</v>
      </c>
      <c r="G261" s="6" t="s">
        <v>53</v>
      </c>
      <c r="H261" s="12" t="s">
        <v>496</v>
      </c>
      <c r="I261" s="12">
        <f>IFERROR(VLOOKUP(A261,Hoja2!A:C,3,FALSE),"0")</f>
        <v>216</v>
      </c>
      <c r="J261" s="13">
        <f>+D261-I261</f>
        <v>19</v>
      </c>
    </row>
    <row r="262" spans="1:10" x14ac:dyDescent="0.25">
      <c r="A262" s="10">
        <v>541513</v>
      </c>
      <c r="B262" s="6" t="s">
        <v>119</v>
      </c>
      <c r="C262" s="7">
        <v>0</v>
      </c>
      <c r="D262" s="7">
        <v>0</v>
      </c>
      <c r="E262" s="8">
        <v>46211.435567129629</v>
      </c>
      <c r="F262" s="9">
        <v>46211</v>
      </c>
      <c r="G262" s="6" t="s">
        <v>53</v>
      </c>
      <c r="H262" s="12" t="s">
        <v>496</v>
      </c>
      <c r="I262" s="12" t="str">
        <f>IFERROR(VLOOKUP(A262,Hoja2!A:C,3,FALSE),"0")</f>
        <v>0</v>
      </c>
      <c r="J262" s="13">
        <f>+D262-I262</f>
        <v>0</v>
      </c>
    </row>
    <row r="263" spans="1:10" x14ac:dyDescent="0.25">
      <c r="A263" s="10">
        <v>541515</v>
      </c>
      <c r="B263" s="6" t="s">
        <v>120</v>
      </c>
      <c r="C263" s="7">
        <v>79</v>
      </c>
      <c r="D263" s="7">
        <v>43</v>
      </c>
      <c r="E263" s="8">
        <v>46295.539247685185</v>
      </c>
      <c r="F263" s="9">
        <v>46295</v>
      </c>
      <c r="G263" s="6" t="s">
        <v>53</v>
      </c>
      <c r="H263" s="12" t="s">
        <v>496</v>
      </c>
      <c r="I263" s="12">
        <f>IFERROR(VLOOKUP(A263,Hoja2!A:C,3,FALSE),"0")</f>
        <v>144</v>
      </c>
      <c r="J263" s="13">
        <f>+D263-I263</f>
        <v>-101</v>
      </c>
    </row>
    <row r="264" spans="1:10" x14ac:dyDescent="0.25">
      <c r="A264" s="10">
        <v>541516</v>
      </c>
      <c r="B264" s="6" t="s">
        <v>121</v>
      </c>
      <c r="C264" s="7">
        <v>138</v>
      </c>
      <c r="D264" s="7">
        <v>168</v>
      </c>
      <c r="E264" s="8">
        <v>46295.539247685185</v>
      </c>
      <c r="F264" s="9">
        <v>46295</v>
      </c>
      <c r="G264" s="6" t="s">
        <v>53</v>
      </c>
      <c r="H264" s="12" t="s">
        <v>496</v>
      </c>
      <c r="I264" s="12">
        <f>IFERROR(VLOOKUP(A264,Hoja2!A:C,3,FALSE),"0")</f>
        <v>54</v>
      </c>
      <c r="J264" s="13">
        <f>+D264-I264</f>
        <v>114</v>
      </c>
    </row>
    <row r="265" spans="1:10" x14ac:dyDescent="0.25">
      <c r="A265" s="10">
        <v>541517</v>
      </c>
      <c r="B265" s="6" t="s">
        <v>122</v>
      </c>
      <c r="C265" s="7">
        <v>61</v>
      </c>
      <c r="D265" s="7">
        <v>1</v>
      </c>
      <c r="E265" s="8">
        <v>46295.539247685185</v>
      </c>
      <c r="F265" s="9">
        <v>46295</v>
      </c>
      <c r="G265" s="6" t="s">
        <v>53</v>
      </c>
      <c r="H265" s="12" t="s">
        <v>496</v>
      </c>
      <c r="I265" s="12">
        <f>IFERROR(VLOOKUP(A265,Hoja2!A:C,3,FALSE),"0")</f>
        <v>72</v>
      </c>
      <c r="J265" s="13">
        <f>+D265-I265</f>
        <v>-71</v>
      </c>
    </row>
    <row r="266" spans="1:10" x14ac:dyDescent="0.25">
      <c r="A266" s="10">
        <v>541522</v>
      </c>
      <c r="B266" s="6" t="s">
        <v>123</v>
      </c>
      <c r="C266" s="7">
        <v>136</v>
      </c>
      <c r="D266" s="7">
        <v>254</v>
      </c>
      <c r="E266" s="8">
        <v>46295.539247685185</v>
      </c>
      <c r="F266" s="9">
        <v>46295</v>
      </c>
      <c r="G266" s="6" t="s">
        <v>53</v>
      </c>
      <c r="H266" s="12" t="s">
        <v>496</v>
      </c>
      <c r="I266" s="12">
        <f>IFERROR(VLOOKUP(A266,Hoja2!A:C,3,FALSE),"0")</f>
        <v>140</v>
      </c>
      <c r="J266" s="13">
        <f>+D266-I266</f>
        <v>114</v>
      </c>
    </row>
    <row r="267" spans="1:10" x14ac:dyDescent="0.25">
      <c r="A267" s="10">
        <v>541525</v>
      </c>
      <c r="B267" s="6" t="s">
        <v>124</v>
      </c>
      <c r="C267" s="7">
        <v>120</v>
      </c>
      <c r="D267" s="7">
        <v>90</v>
      </c>
      <c r="E267" s="8">
        <v>46295.539247685185</v>
      </c>
      <c r="F267" s="9">
        <v>46295</v>
      </c>
      <c r="G267" s="6" t="s">
        <v>53</v>
      </c>
      <c r="H267" s="12" t="s">
        <v>496</v>
      </c>
      <c r="I267" s="12">
        <f>IFERROR(VLOOKUP(A267,Hoja2!A:C,3,FALSE),"0")</f>
        <v>220</v>
      </c>
      <c r="J267" s="13">
        <f>+D267-I267</f>
        <v>-130</v>
      </c>
    </row>
    <row r="268" spans="1:10" x14ac:dyDescent="0.25">
      <c r="A268" s="10">
        <v>541533</v>
      </c>
      <c r="B268" s="6" t="s">
        <v>125</v>
      </c>
      <c r="C268" s="7">
        <v>119</v>
      </c>
      <c r="D268" s="7">
        <v>170</v>
      </c>
      <c r="E268" s="8">
        <v>46295.539247685185</v>
      </c>
      <c r="F268" s="9">
        <v>46295</v>
      </c>
      <c r="G268" s="6" t="s">
        <v>53</v>
      </c>
      <c r="H268" s="12" t="s">
        <v>496</v>
      </c>
      <c r="I268" s="12">
        <f>IFERROR(VLOOKUP(A268,Hoja2!A:C,3,FALSE),"0")</f>
        <v>60</v>
      </c>
      <c r="J268" s="13">
        <f>+D268-I268</f>
        <v>110</v>
      </c>
    </row>
    <row r="269" spans="1:10" x14ac:dyDescent="0.25">
      <c r="A269" s="10">
        <v>541539</v>
      </c>
      <c r="B269" s="6" t="s">
        <v>126</v>
      </c>
      <c r="C269" s="7">
        <v>0</v>
      </c>
      <c r="D269" s="7">
        <v>0</v>
      </c>
      <c r="E269" s="8">
        <v>46231.811585648145</v>
      </c>
      <c r="F269" s="9">
        <v>46231</v>
      </c>
      <c r="G269" s="6" t="s">
        <v>53</v>
      </c>
      <c r="H269" s="12" t="s">
        <v>496</v>
      </c>
      <c r="I269" s="12" t="str">
        <f>IFERROR(VLOOKUP(A269,Hoja2!A:C,3,FALSE),"0")</f>
        <v>0</v>
      </c>
      <c r="J269" s="13">
        <f>+D269-I269</f>
        <v>0</v>
      </c>
    </row>
    <row r="270" spans="1:10" x14ac:dyDescent="0.25">
      <c r="A270" s="10">
        <v>541540</v>
      </c>
      <c r="B270" s="6" t="s">
        <v>127</v>
      </c>
      <c r="C270" s="7">
        <v>0</v>
      </c>
      <c r="D270" s="7">
        <v>0</v>
      </c>
      <c r="E270" s="8">
        <v>46281.511550925927</v>
      </c>
      <c r="F270" s="9">
        <v>46281</v>
      </c>
      <c r="G270" s="6" t="s">
        <v>53</v>
      </c>
      <c r="H270" s="12" t="s">
        <v>496</v>
      </c>
      <c r="I270" s="12" t="str">
        <f>IFERROR(VLOOKUP(A270,Hoja2!A:C,3,FALSE),"0")</f>
        <v>0</v>
      </c>
      <c r="J270" s="13">
        <f>+D270-I270</f>
        <v>0</v>
      </c>
    </row>
    <row r="271" spans="1:10" x14ac:dyDescent="0.25">
      <c r="A271" s="10">
        <v>541559</v>
      </c>
      <c r="B271" s="6" t="s">
        <v>128</v>
      </c>
      <c r="C271" s="7">
        <v>0</v>
      </c>
      <c r="D271" s="7">
        <v>43</v>
      </c>
      <c r="E271" s="8">
        <v>46275.52884259259</v>
      </c>
      <c r="F271" s="9">
        <v>46275</v>
      </c>
      <c r="G271" s="6" t="s">
        <v>53</v>
      </c>
      <c r="H271" s="12" t="s">
        <v>496</v>
      </c>
      <c r="I271" s="12" t="str">
        <f>IFERROR(VLOOKUP(A271,Hoja2!A:C,3,FALSE),"0")</f>
        <v>0</v>
      </c>
      <c r="J271" s="13">
        <f>+D271-I271</f>
        <v>43</v>
      </c>
    </row>
    <row r="272" spans="1:10" x14ac:dyDescent="0.25">
      <c r="A272" s="10">
        <v>541571</v>
      </c>
      <c r="B272" s="6" t="s">
        <v>129</v>
      </c>
      <c r="C272" s="7">
        <v>0</v>
      </c>
      <c r="D272" s="7">
        <v>352</v>
      </c>
      <c r="E272" s="8">
        <v>46286.758726851855</v>
      </c>
      <c r="F272" s="9">
        <v>46286</v>
      </c>
      <c r="G272" s="6" t="s">
        <v>130</v>
      </c>
      <c r="H272" s="12" t="s">
        <v>496</v>
      </c>
      <c r="I272" s="12" t="str">
        <f>IFERROR(VLOOKUP(A272,Hoja2!A:C,3,FALSE),"0")</f>
        <v>0</v>
      </c>
      <c r="J272" s="13">
        <f>+D272-I272</f>
        <v>352</v>
      </c>
    </row>
    <row r="273" spans="1:10" x14ac:dyDescent="0.25">
      <c r="A273" s="10">
        <v>541584</v>
      </c>
      <c r="B273" s="6" t="s">
        <v>131</v>
      </c>
      <c r="C273" s="7">
        <v>0</v>
      </c>
      <c r="D273" s="7">
        <v>72</v>
      </c>
      <c r="E273" s="8">
        <v>46288.348391203705</v>
      </c>
      <c r="F273" s="9">
        <v>46288</v>
      </c>
      <c r="G273" s="6" t="s">
        <v>53</v>
      </c>
      <c r="H273" s="12" t="s">
        <v>496</v>
      </c>
      <c r="I273" s="12" t="str">
        <f>IFERROR(VLOOKUP(A273,Hoja2!A:C,3,FALSE),"0")</f>
        <v>0</v>
      </c>
      <c r="J273" s="13">
        <f>+D273-I273</f>
        <v>72</v>
      </c>
    </row>
    <row r="274" spans="1:10" x14ac:dyDescent="0.25">
      <c r="A274" s="10">
        <v>541586</v>
      </c>
      <c r="B274" s="6" t="s">
        <v>273</v>
      </c>
      <c r="C274" s="7">
        <v>0</v>
      </c>
      <c r="D274" s="7">
        <v>42</v>
      </c>
      <c r="E274" s="8">
        <v>46288.348391203705</v>
      </c>
      <c r="F274" s="9">
        <v>46288</v>
      </c>
      <c r="G274" s="6" t="s">
        <v>53</v>
      </c>
      <c r="H274" s="12" t="s">
        <v>496</v>
      </c>
      <c r="I274" s="12" t="str">
        <f>IFERROR(VLOOKUP(A274,Hoja2!A:C,3,FALSE),"0")</f>
        <v>0</v>
      </c>
      <c r="J274" s="13">
        <f>+D274-I274</f>
        <v>42</v>
      </c>
    </row>
    <row r="275" spans="1:10" x14ac:dyDescent="0.25">
      <c r="A275" s="10">
        <v>541604</v>
      </c>
      <c r="B275" s="6" t="s">
        <v>200</v>
      </c>
      <c r="C275" s="7">
        <v>0</v>
      </c>
      <c r="D275" s="7">
        <v>0</v>
      </c>
      <c r="E275" s="8">
        <v>46168.65662037037</v>
      </c>
      <c r="F275" s="9">
        <v>46168</v>
      </c>
      <c r="G275" s="6" t="s">
        <v>53</v>
      </c>
      <c r="H275" s="12" t="s">
        <v>496</v>
      </c>
      <c r="I275" s="12" t="str">
        <f>IFERROR(VLOOKUP(A275,Hoja2!A:C,3,FALSE),"0")</f>
        <v>0</v>
      </c>
      <c r="J275" s="13">
        <f>+D275-I275</f>
        <v>0</v>
      </c>
    </row>
    <row r="276" spans="1:10" x14ac:dyDescent="0.25">
      <c r="A276" s="10">
        <v>541605</v>
      </c>
      <c r="B276" s="6" t="s">
        <v>132</v>
      </c>
      <c r="C276" s="7">
        <v>79</v>
      </c>
      <c r="D276" s="7">
        <v>82</v>
      </c>
      <c r="E276" s="8">
        <v>46295.539247685185</v>
      </c>
      <c r="F276" s="9">
        <v>46295</v>
      </c>
      <c r="G276" s="6" t="s">
        <v>53</v>
      </c>
      <c r="H276" s="12" t="s">
        <v>496</v>
      </c>
      <c r="I276" s="12">
        <f>IFERROR(VLOOKUP(A276,Hoja2!A:C,3,FALSE),"0")</f>
        <v>144</v>
      </c>
      <c r="J276" s="13">
        <f>+D276-I276</f>
        <v>-62</v>
      </c>
    </row>
    <row r="277" spans="1:10" x14ac:dyDescent="0.25">
      <c r="A277" s="10">
        <v>541606</v>
      </c>
      <c r="B277" s="6" t="s">
        <v>133</v>
      </c>
      <c r="C277" s="7">
        <v>0</v>
      </c>
      <c r="D277" s="7">
        <v>0</v>
      </c>
      <c r="E277" s="8">
        <v>46193.468148148146</v>
      </c>
      <c r="F277" s="9">
        <v>46193</v>
      </c>
      <c r="G277" s="6" t="s">
        <v>53</v>
      </c>
      <c r="H277" s="12" t="s">
        <v>496</v>
      </c>
      <c r="I277" s="12" t="str">
        <f>IFERROR(VLOOKUP(A277,Hoja2!A:C,3,FALSE),"0")</f>
        <v>0</v>
      </c>
      <c r="J277" s="13">
        <f>+D277-I277</f>
        <v>0</v>
      </c>
    </row>
    <row r="278" spans="1:10" x14ac:dyDescent="0.25">
      <c r="A278" s="10">
        <v>541607</v>
      </c>
      <c r="B278" s="6" t="s">
        <v>134</v>
      </c>
      <c r="C278" s="7">
        <v>0</v>
      </c>
      <c r="D278" s="7">
        <v>0</v>
      </c>
      <c r="E278" s="8">
        <v>46193.468148148146</v>
      </c>
      <c r="F278" s="9">
        <v>46193</v>
      </c>
      <c r="G278" s="6" t="s">
        <v>53</v>
      </c>
      <c r="H278" s="12" t="s">
        <v>496</v>
      </c>
      <c r="I278" s="12" t="str">
        <f>IFERROR(VLOOKUP(A278,Hoja2!A:C,3,FALSE),"0")</f>
        <v>0</v>
      </c>
      <c r="J278" s="13">
        <f>+D278-I278</f>
        <v>0</v>
      </c>
    </row>
    <row r="279" spans="1:10" x14ac:dyDescent="0.25">
      <c r="A279" s="10">
        <v>541611</v>
      </c>
      <c r="B279" s="6" t="s">
        <v>135</v>
      </c>
      <c r="C279" s="7">
        <v>8</v>
      </c>
      <c r="D279" s="7">
        <v>14</v>
      </c>
      <c r="E279" s="8">
        <v>46295.539247685185</v>
      </c>
      <c r="F279" s="9">
        <v>46295</v>
      </c>
      <c r="G279" s="6" t="s">
        <v>53</v>
      </c>
      <c r="H279" s="12" t="s">
        <v>496</v>
      </c>
      <c r="I279" s="12">
        <f>IFERROR(VLOOKUP(A279,Hoja2!A:C,3,FALSE),"0")</f>
        <v>17</v>
      </c>
      <c r="J279" s="13">
        <f>+D279-I279</f>
        <v>-3</v>
      </c>
    </row>
    <row r="280" spans="1:10" x14ac:dyDescent="0.25">
      <c r="A280" s="10">
        <v>541612</v>
      </c>
      <c r="B280" s="6" t="s">
        <v>136</v>
      </c>
      <c r="C280" s="7">
        <v>0</v>
      </c>
      <c r="D280" s="7">
        <v>3</v>
      </c>
      <c r="E280" s="8">
        <v>46281.511550925927</v>
      </c>
      <c r="F280" s="9">
        <v>46281</v>
      </c>
      <c r="G280" s="6" t="s">
        <v>53</v>
      </c>
      <c r="H280" s="12" t="s">
        <v>496</v>
      </c>
      <c r="I280" s="12" t="str">
        <f>IFERROR(VLOOKUP(A280,Hoja2!A:C,3,FALSE),"0")</f>
        <v>0</v>
      </c>
      <c r="J280" s="13">
        <f>+D280-I280</f>
        <v>3</v>
      </c>
    </row>
    <row r="281" spans="1:10" x14ac:dyDescent="0.25">
      <c r="A281" s="10">
        <v>541617</v>
      </c>
      <c r="B281" s="6" t="s">
        <v>137</v>
      </c>
      <c r="C281" s="7">
        <v>13</v>
      </c>
      <c r="D281" s="7">
        <v>1</v>
      </c>
      <c r="E281" s="8">
        <v>46295.539247685185</v>
      </c>
      <c r="F281" s="9">
        <v>46295</v>
      </c>
      <c r="G281" s="6" t="s">
        <v>53</v>
      </c>
      <c r="H281" s="12" t="s">
        <v>496</v>
      </c>
      <c r="I281" s="12">
        <f>IFERROR(VLOOKUP(A281,Hoja2!A:C,3,FALSE),"0")</f>
        <v>60</v>
      </c>
      <c r="J281" s="13">
        <f>+D281-I281</f>
        <v>-59</v>
      </c>
    </row>
    <row r="282" spans="1:10" x14ac:dyDescent="0.25">
      <c r="A282" s="10">
        <v>541620</v>
      </c>
      <c r="B282" s="6" t="s">
        <v>335</v>
      </c>
      <c r="C282" s="7">
        <v>53</v>
      </c>
      <c r="D282" s="7">
        <v>81</v>
      </c>
      <c r="E282" s="8">
        <v>46295.52484953704</v>
      </c>
      <c r="F282" s="9">
        <v>46295</v>
      </c>
      <c r="G282" s="6" t="s">
        <v>53</v>
      </c>
      <c r="H282" s="12" t="s">
        <v>496</v>
      </c>
      <c r="I282" s="12">
        <f>IFERROR(VLOOKUP(A282,Hoja2!A:C,3,FALSE),"0")</f>
        <v>40</v>
      </c>
      <c r="J282" s="13">
        <f>+D282-I282</f>
        <v>41</v>
      </c>
    </row>
    <row r="283" spans="1:10" x14ac:dyDescent="0.25">
      <c r="A283" s="10">
        <v>541622</v>
      </c>
      <c r="B283" s="6" t="s">
        <v>337</v>
      </c>
      <c r="C283" s="7">
        <v>59</v>
      </c>
      <c r="D283" s="7">
        <v>69</v>
      </c>
      <c r="E283" s="8">
        <v>46295.52484953704</v>
      </c>
      <c r="F283" s="9">
        <v>46295</v>
      </c>
      <c r="G283" s="6" t="s">
        <v>53</v>
      </c>
      <c r="H283" s="12" t="s">
        <v>496</v>
      </c>
      <c r="I283" s="12">
        <f>IFERROR(VLOOKUP(A283,Hoja2!A:C,3,FALSE),"0")</f>
        <v>40</v>
      </c>
      <c r="J283" s="13">
        <f>+D283-I283</f>
        <v>29</v>
      </c>
    </row>
    <row r="284" spans="1:10" x14ac:dyDescent="0.25">
      <c r="A284" s="10">
        <v>541623</v>
      </c>
      <c r="B284" s="6" t="s">
        <v>338</v>
      </c>
      <c r="C284" s="7">
        <v>16</v>
      </c>
      <c r="D284" s="7">
        <v>43</v>
      </c>
      <c r="E284" s="8">
        <v>46295.528425925928</v>
      </c>
      <c r="F284" s="9">
        <v>46295</v>
      </c>
      <c r="G284" s="6" t="s">
        <v>53</v>
      </c>
      <c r="H284" s="12" t="s">
        <v>496</v>
      </c>
      <c r="I284" s="12">
        <f>IFERROR(VLOOKUP(A284,Hoja2!A:C,3,FALSE),"0")</f>
        <v>80</v>
      </c>
      <c r="J284" s="13">
        <f>+D284-I284</f>
        <v>-37</v>
      </c>
    </row>
    <row r="285" spans="1:10" x14ac:dyDescent="0.25">
      <c r="A285" s="10">
        <v>541624</v>
      </c>
      <c r="B285" s="6" t="s">
        <v>365</v>
      </c>
      <c r="C285" s="7">
        <v>25</v>
      </c>
      <c r="D285" s="7">
        <v>37</v>
      </c>
      <c r="E285" s="8">
        <v>46295.515787037039</v>
      </c>
      <c r="F285" s="9">
        <v>46295</v>
      </c>
      <c r="G285" s="6" t="s">
        <v>53</v>
      </c>
      <c r="H285" s="12" t="s">
        <v>496</v>
      </c>
      <c r="I285" s="12">
        <f>IFERROR(VLOOKUP(A285,Hoja2!A:C,3,FALSE),"0")</f>
        <v>80</v>
      </c>
      <c r="J285" s="13">
        <f>+D285-I285</f>
        <v>-43</v>
      </c>
    </row>
    <row r="286" spans="1:10" x14ac:dyDescent="0.25">
      <c r="A286" s="10">
        <v>541628</v>
      </c>
      <c r="B286" s="6" t="s">
        <v>362</v>
      </c>
      <c r="C286" s="7">
        <v>0</v>
      </c>
      <c r="D286" s="7">
        <v>43</v>
      </c>
      <c r="E286" s="8">
        <v>46281.483773148146</v>
      </c>
      <c r="F286" s="9">
        <v>46281</v>
      </c>
      <c r="G286" s="6" t="s">
        <v>53</v>
      </c>
      <c r="H286" s="12" t="s">
        <v>496</v>
      </c>
      <c r="I286" s="12" t="str">
        <f>IFERROR(VLOOKUP(A286,Hoja2!A:C,3,FALSE),"0")</f>
        <v>0</v>
      </c>
      <c r="J286" s="13">
        <f>+D286-I286</f>
        <v>43</v>
      </c>
    </row>
    <row r="287" spans="1:10" x14ac:dyDescent="0.25">
      <c r="A287" s="10">
        <v>542035</v>
      </c>
      <c r="B287" s="6" t="s">
        <v>138</v>
      </c>
      <c r="C287" s="7">
        <v>326</v>
      </c>
      <c r="D287" s="7">
        <v>241</v>
      </c>
      <c r="E287" s="8">
        <v>46295.539247685185</v>
      </c>
      <c r="F287" s="9">
        <v>46295</v>
      </c>
      <c r="G287" s="6" t="s">
        <v>53</v>
      </c>
      <c r="H287" s="12" t="s">
        <v>496</v>
      </c>
      <c r="I287" s="12">
        <f>IFERROR(VLOOKUP(A287,Hoja2!A:C,3,FALSE),"0")</f>
        <v>400</v>
      </c>
      <c r="J287" s="13">
        <f>+D287-I287</f>
        <v>-159</v>
      </c>
    </row>
    <row r="288" spans="1:10" x14ac:dyDescent="0.25">
      <c r="A288" s="10">
        <v>542036</v>
      </c>
      <c r="B288" s="6" t="s">
        <v>139</v>
      </c>
      <c r="C288" s="7">
        <v>0</v>
      </c>
      <c r="D288" s="7">
        <v>134</v>
      </c>
      <c r="E288" s="8">
        <v>46288.348391203705</v>
      </c>
      <c r="F288" s="9">
        <v>46288</v>
      </c>
      <c r="G288" s="6" t="s">
        <v>53</v>
      </c>
      <c r="H288" s="12" t="s">
        <v>496</v>
      </c>
      <c r="I288" s="12" t="str">
        <f>IFERROR(VLOOKUP(A288,Hoja2!A:C,3,FALSE),"0")</f>
        <v>0</v>
      </c>
      <c r="J288" s="13">
        <f>+D288-I288</f>
        <v>134</v>
      </c>
    </row>
    <row r="289" spans="1:10" x14ac:dyDescent="0.25">
      <c r="A289" s="10">
        <v>542037</v>
      </c>
      <c r="B289" s="6" t="s">
        <v>339</v>
      </c>
      <c r="C289" s="7">
        <v>32</v>
      </c>
      <c r="D289" s="7">
        <v>75</v>
      </c>
      <c r="E289" s="8">
        <v>46295.528425925928</v>
      </c>
      <c r="F289" s="9">
        <v>46295</v>
      </c>
      <c r="G289" s="6" t="s">
        <v>53</v>
      </c>
      <c r="H289" s="12" t="s">
        <v>496</v>
      </c>
      <c r="I289" s="12">
        <f>IFERROR(VLOOKUP(A289,Hoja2!A:C,3,FALSE),"0")</f>
        <v>40</v>
      </c>
      <c r="J289" s="13">
        <f>+D289-I289</f>
        <v>35</v>
      </c>
    </row>
    <row r="290" spans="1:10" x14ac:dyDescent="0.25">
      <c r="A290" s="10">
        <v>542038</v>
      </c>
      <c r="B290" s="6" t="s">
        <v>340</v>
      </c>
      <c r="C290" s="7">
        <v>52</v>
      </c>
      <c r="D290" s="7">
        <v>141</v>
      </c>
      <c r="E290" s="8">
        <v>46295.528425925928</v>
      </c>
      <c r="F290" s="9">
        <v>46295</v>
      </c>
      <c r="G290" s="6" t="s">
        <v>53</v>
      </c>
      <c r="H290" s="12" t="s">
        <v>496</v>
      </c>
      <c r="I290" s="12">
        <f>IFERROR(VLOOKUP(A290,Hoja2!A:C,3,FALSE),"0")</f>
        <v>40</v>
      </c>
      <c r="J290" s="13">
        <f>+D290-I290</f>
        <v>101</v>
      </c>
    </row>
    <row r="291" spans="1:10" x14ac:dyDescent="0.25">
      <c r="A291" s="10">
        <v>542039</v>
      </c>
      <c r="B291" s="6" t="s">
        <v>341</v>
      </c>
      <c r="C291" s="7">
        <v>0</v>
      </c>
      <c r="D291" s="7">
        <v>132</v>
      </c>
      <c r="E291" s="8">
        <v>46288.61215277778</v>
      </c>
      <c r="F291" s="9">
        <v>46288</v>
      </c>
      <c r="G291" s="6" t="s">
        <v>53</v>
      </c>
      <c r="H291" s="12" t="s">
        <v>496</v>
      </c>
      <c r="I291" s="12" t="str">
        <f>IFERROR(VLOOKUP(A291,Hoja2!A:C,3,FALSE),"0")</f>
        <v>0</v>
      </c>
      <c r="J291" s="13">
        <f>+D291-I291</f>
        <v>132</v>
      </c>
    </row>
    <row r="292" spans="1:10" x14ac:dyDescent="0.25">
      <c r="A292" s="10">
        <v>542040</v>
      </c>
      <c r="B292" s="6" t="s">
        <v>140</v>
      </c>
      <c r="C292" s="7">
        <v>234</v>
      </c>
      <c r="D292" s="7">
        <v>168</v>
      </c>
      <c r="E292" s="8">
        <v>46295.522037037037</v>
      </c>
      <c r="F292" s="9">
        <v>46295</v>
      </c>
      <c r="G292" s="6" t="s">
        <v>53</v>
      </c>
      <c r="H292" s="12" t="s">
        <v>496</v>
      </c>
      <c r="I292" s="12">
        <f>IFERROR(VLOOKUP(A292,Hoja2!A:C,3,FALSE),"0")</f>
        <v>300</v>
      </c>
      <c r="J292" s="13">
        <f>+D292-I292</f>
        <v>-132</v>
      </c>
    </row>
    <row r="293" spans="1:10" x14ac:dyDescent="0.25">
      <c r="A293" s="10">
        <v>542041</v>
      </c>
      <c r="B293" s="6" t="s">
        <v>314</v>
      </c>
      <c r="C293" s="7">
        <v>191</v>
      </c>
      <c r="D293" s="7">
        <v>44</v>
      </c>
      <c r="E293" s="8">
        <v>46295.528425925928</v>
      </c>
      <c r="F293" s="9">
        <v>46295</v>
      </c>
      <c r="G293" s="6" t="s">
        <v>53</v>
      </c>
      <c r="H293" s="12" t="s">
        <v>496</v>
      </c>
      <c r="I293" s="12">
        <f>IFERROR(VLOOKUP(A293,Hoja2!A:C,3,FALSE),"0")</f>
        <v>60</v>
      </c>
      <c r="J293" s="13">
        <f>+D293-I293</f>
        <v>-16</v>
      </c>
    </row>
    <row r="294" spans="1:10" x14ac:dyDescent="0.25">
      <c r="A294" s="10">
        <v>542044</v>
      </c>
      <c r="B294" s="6" t="s">
        <v>393</v>
      </c>
      <c r="C294" s="7">
        <v>0</v>
      </c>
      <c r="D294" s="7">
        <v>63</v>
      </c>
      <c r="E294" s="8">
        <v>46281.508564814816</v>
      </c>
      <c r="F294" s="9">
        <v>46281</v>
      </c>
      <c r="G294" s="6" t="s">
        <v>53</v>
      </c>
      <c r="H294" s="12" t="s">
        <v>496</v>
      </c>
      <c r="I294" s="12" t="str">
        <f>IFERROR(VLOOKUP(A294,Hoja2!A:C,3,FALSE),"0")</f>
        <v>0</v>
      </c>
      <c r="J294" s="13">
        <f>+D294-I294</f>
        <v>63</v>
      </c>
    </row>
    <row r="295" spans="1:10" x14ac:dyDescent="0.25">
      <c r="A295" s="10">
        <v>543042</v>
      </c>
      <c r="B295" s="6" t="s">
        <v>308</v>
      </c>
      <c r="C295" s="7">
        <v>291</v>
      </c>
      <c r="D295" s="7">
        <v>164</v>
      </c>
      <c r="E295" s="8">
        <v>46295.523263888892</v>
      </c>
      <c r="F295" s="9">
        <v>46295</v>
      </c>
      <c r="G295" s="6" t="s">
        <v>309</v>
      </c>
      <c r="H295" s="12" t="s">
        <v>496</v>
      </c>
      <c r="I295" s="12">
        <f>IFERROR(VLOOKUP(A295,Hoja2!A:C,3,FALSE),"0")</f>
        <v>400</v>
      </c>
      <c r="J295" s="13">
        <f>+D295-I295</f>
        <v>-236</v>
      </c>
    </row>
    <row r="296" spans="1:10" x14ac:dyDescent="0.25">
      <c r="A296" s="10">
        <v>544100</v>
      </c>
      <c r="B296" s="6" t="s">
        <v>274</v>
      </c>
      <c r="C296" s="7">
        <v>70</v>
      </c>
      <c r="D296" s="7">
        <v>0</v>
      </c>
      <c r="E296" s="8">
        <v>46295.522037037037</v>
      </c>
      <c r="F296" s="9">
        <v>46295</v>
      </c>
      <c r="G296" s="6" t="s">
        <v>142</v>
      </c>
      <c r="H296" s="12" t="s">
        <v>496</v>
      </c>
      <c r="I296" s="12">
        <f>IFERROR(VLOOKUP(A296,Hoja2!A:C,3,FALSE),"0")</f>
        <v>48</v>
      </c>
      <c r="J296" s="13">
        <f>+D296-I296</f>
        <v>-48</v>
      </c>
    </row>
    <row r="297" spans="1:10" x14ac:dyDescent="0.25">
      <c r="A297" s="10">
        <v>544104</v>
      </c>
      <c r="B297" s="6" t="s">
        <v>284</v>
      </c>
      <c r="C297" s="7">
        <v>0</v>
      </c>
      <c r="D297" s="7">
        <v>0</v>
      </c>
      <c r="E297" s="8">
        <v>46225.565937500003</v>
      </c>
      <c r="F297" s="9">
        <v>46225</v>
      </c>
      <c r="G297" s="6" t="s">
        <v>142</v>
      </c>
      <c r="H297" s="12" t="s">
        <v>496</v>
      </c>
      <c r="I297" s="12" t="str">
        <f>IFERROR(VLOOKUP(A297,Hoja2!A:C,3,FALSE),"0")</f>
        <v>0</v>
      </c>
      <c r="J297" s="13">
        <f>+D297-I297</f>
        <v>0</v>
      </c>
    </row>
    <row r="298" spans="1:10" x14ac:dyDescent="0.25">
      <c r="A298" s="10">
        <v>544109</v>
      </c>
      <c r="B298" s="6" t="s">
        <v>141</v>
      </c>
      <c r="C298" s="7">
        <v>0</v>
      </c>
      <c r="D298" s="7">
        <v>0</v>
      </c>
      <c r="E298" s="8">
        <v>46218.585393518515</v>
      </c>
      <c r="F298" s="9">
        <v>46218</v>
      </c>
      <c r="G298" s="6" t="s">
        <v>142</v>
      </c>
      <c r="H298" s="12" t="s">
        <v>496</v>
      </c>
      <c r="I298" s="12" t="str">
        <f>IFERROR(VLOOKUP(A298,Hoja2!A:C,3,FALSE),"0")</f>
        <v>0</v>
      </c>
      <c r="J298" s="13">
        <f>+D298-I298</f>
        <v>0</v>
      </c>
    </row>
    <row r="299" spans="1:10" x14ac:dyDescent="0.25">
      <c r="A299" s="10">
        <v>544111</v>
      </c>
      <c r="B299" s="6" t="s">
        <v>272</v>
      </c>
      <c r="C299" s="7">
        <v>0</v>
      </c>
      <c r="D299" s="7">
        <v>0</v>
      </c>
      <c r="E299" s="8">
        <v>46193.468148148146</v>
      </c>
      <c r="F299" s="9">
        <v>46193</v>
      </c>
      <c r="G299" s="6" t="s">
        <v>142</v>
      </c>
      <c r="H299" s="12" t="s">
        <v>496</v>
      </c>
      <c r="I299" s="12" t="str">
        <f>IFERROR(VLOOKUP(A299,Hoja2!A:C,3,FALSE),"0")</f>
        <v>0</v>
      </c>
      <c r="J299" s="13">
        <f>+D299-I299</f>
        <v>0</v>
      </c>
    </row>
    <row r="300" spans="1:10" x14ac:dyDescent="0.25">
      <c r="A300" s="10">
        <v>544113</v>
      </c>
      <c r="B300" s="6" t="s">
        <v>379</v>
      </c>
      <c r="C300" s="7">
        <v>0</v>
      </c>
      <c r="D300" s="7">
        <v>0</v>
      </c>
      <c r="E300" s="8">
        <v>46253.594895833332</v>
      </c>
      <c r="F300" s="9">
        <v>46253</v>
      </c>
      <c r="G300" s="6" t="s">
        <v>142</v>
      </c>
      <c r="H300" s="12" t="s">
        <v>496</v>
      </c>
      <c r="I300" s="12" t="str">
        <f>IFERROR(VLOOKUP(A300,Hoja2!A:C,3,FALSE),"0")</f>
        <v>0</v>
      </c>
      <c r="J300" s="13">
        <f>+D300-I300</f>
        <v>0</v>
      </c>
    </row>
    <row r="301" spans="1:10" x14ac:dyDescent="0.25">
      <c r="A301" s="10">
        <v>550101</v>
      </c>
      <c r="B301" s="6" t="s">
        <v>143</v>
      </c>
      <c r="C301" s="7">
        <v>0</v>
      </c>
      <c r="D301" s="7">
        <v>0</v>
      </c>
      <c r="E301" s="8">
        <v>46168.649386574078</v>
      </c>
      <c r="F301" s="9">
        <v>46168</v>
      </c>
      <c r="G301" s="6" t="s">
        <v>144</v>
      </c>
      <c r="H301" s="12" t="s">
        <v>496</v>
      </c>
      <c r="I301" s="12" t="str">
        <f>IFERROR(VLOOKUP(A301,Hoja2!A:C,3,FALSE),"0")</f>
        <v>0</v>
      </c>
      <c r="J301" s="13">
        <f>+D301-I301</f>
        <v>0</v>
      </c>
    </row>
    <row r="302" spans="1:10" x14ac:dyDescent="0.25">
      <c r="A302" s="10">
        <v>550102</v>
      </c>
      <c r="B302" s="6" t="s">
        <v>145</v>
      </c>
      <c r="C302" s="7">
        <v>0</v>
      </c>
      <c r="D302" s="7">
        <v>42</v>
      </c>
      <c r="E302" s="8">
        <v>46286.758726851855</v>
      </c>
      <c r="F302" s="9">
        <v>46286</v>
      </c>
      <c r="G302" s="6" t="s">
        <v>130</v>
      </c>
      <c r="H302" s="12" t="s">
        <v>496</v>
      </c>
      <c r="I302" s="12" t="str">
        <f>IFERROR(VLOOKUP(A302,Hoja2!A:C,3,FALSE),"0")</f>
        <v>0</v>
      </c>
      <c r="J302" s="13">
        <f>+D302-I302</f>
        <v>42</v>
      </c>
    </row>
    <row r="303" spans="1:10" x14ac:dyDescent="0.25">
      <c r="A303" s="10">
        <v>550103</v>
      </c>
      <c r="B303" s="6" t="s">
        <v>146</v>
      </c>
      <c r="C303" s="7">
        <v>34</v>
      </c>
      <c r="D303" s="7">
        <v>82</v>
      </c>
      <c r="E303" s="8">
        <v>46286.758726851855</v>
      </c>
      <c r="F303" s="9">
        <v>46286</v>
      </c>
      <c r="G303" s="6" t="s">
        <v>144</v>
      </c>
      <c r="H303" s="12" t="s">
        <v>496</v>
      </c>
      <c r="I303" s="12" t="str">
        <f>IFERROR(VLOOKUP(A303,Hoja2!A:C,3,FALSE),"0")</f>
        <v>0</v>
      </c>
      <c r="J303" s="13">
        <f>+D303-I303</f>
        <v>82</v>
      </c>
    </row>
    <row r="304" spans="1:10" x14ac:dyDescent="0.25">
      <c r="A304" s="10">
        <v>550108</v>
      </c>
      <c r="B304" s="6" t="s">
        <v>392</v>
      </c>
      <c r="C304" s="7">
        <v>0</v>
      </c>
      <c r="D304" s="7">
        <v>84</v>
      </c>
      <c r="E304" s="8">
        <v>46294.970300925925</v>
      </c>
      <c r="F304" s="9">
        <v>46294</v>
      </c>
      <c r="G304" s="6" t="s">
        <v>130</v>
      </c>
      <c r="H304" s="12" t="s">
        <v>496</v>
      </c>
      <c r="I304" s="12" t="str">
        <f>IFERROR(VLOOKUP(A304,Hoja2!A:C,3,FALSE),"0")</f>
        <v>0</v>
      </c>
      <c r="J304" s="13">
        <f>+D304-I304</f>
        <v>84</v>
      </c>
    </row>
    <row r="305" spans="1:10" x14ac:dyDescent="0.25">
      <c r="A305" s="10">
        <v>550302</v>
      </c>
      <c r="B305" s="6" t="s">
        <v>147</v>
      </c>
      <c r="C305" s="7">
        <v>0</v>
      </c>
      <c r="D305" s="7">
        <v>43</v>
      </c>
      <c r="E305" s="8">
        <v>46266.734965277778</v>
      </c>
      <c r="F305" s="9">
        <v>46266</v>
      </c>
      <c r="G305" s="6" t="s">
        <v>144</v>
      </c>
      <c r="H305" s="12" t="s">
        <v>496</v>
      </c>
      <c r="I305" s="12" t="str">
        <f>IFERROR(VLOOKUP(A305,Hoja2!A:C,3,FALSE),"0")</f>
        <v>0</v>
      </c>
      <c r="J305" s="13">
        <f>+D305-I305</f>
        <v>43</v>
      </c>
    </row>
    <row r="306" spans="1:10" x14ac:dyDescent="0.25">
      <c r="A306" s="10">
        <v>550303</v>
      </c>
      <c r="B306" s="6" t="s">
        <v>148</v>
      </c>
      <c r="C306" s="7">
        <v>0</v>
      </c>
      <c r="D306" s="7">
        <v>57</v>
      </c>
      <c r="E306" s="8">
        <v>46224.486076388886</v>
      </c>
      <c r="F306" s="9">
        <v>46224</v>
      </c>
      <c r="G306" s="6" t="s">
        <v>130</v>
      </c>
      <c r="H306" s="12" t="s">
        <v>496</v>
      </c>
      <c r="I306" s="12" t="str">
        <f>IFERROR(VLOOKUP(A306,Hoja2!A:C,3,FALSE),"0")</f>
        <v>0</v>
      </c>
      <c r="J306" s="13">
        <f>+D306-I306</f>
        <v>57</v>
      </c>
    </row>
    <row r="307" spans="1:10" x14ac:dyDescent="0.25">
      <c r="A307" s="10">
        <v>550305</v>
      </c>
      <c r="B307" s="6" t="s">
        <v>149</v>
      </c>
      <c r="C307" s="7">
        <v>0</v>
      </c>
      <c r="D307" s="7">
        <v>137</v>
      </c>
      <c r="E307" s="8">
        <v>46286.758726851855</v>
      </c>
      <c r="F307" s="9">
        <v>46286</v>
      </c>
      <c r="G307" s="6" t="s">
        <v>144</v>
      </c>
      <c r="H307" s="12" t="s">
        <v>496</v>
      </c>
      <c r="I307" s="12" t="str">
        <f>IFERROR(VLOOKUP(A307,Hoja2!A:C,3,FALSE),"0")</f>
        <v>0</v>
      </c>
      <c r="J307" s="13">
        <f>+D307-I307</f>
        <v>137</v>
      </c>
    </row>
    <row r="308" spans="1:10" x14ac:dyDescent="0.25">
      <c r="A308" s="10">
        <v>550420</v>
      </c>
      <c r="B308" s="6" t="s">
        <v>150</v>
      </c>
      <c r="C308" s="7">
        <v>0</v>
      </c>
      <c r="D308" s="7">
        <v>168</v>
      </c>
      <c r="E308" s="8">
        <v>46269.519305555557</v>
      </c>
      <c r="F308" s="9">
        <v>46269</v>
      </c>
      <c r="G308" s="6" t="s">
        <v>130</v>
      </c>
      <c r="H308" s="12" t="s">
        <v>496</v>
      </c>
      <c r="I308" s="12" t="str">
        <f>IFERROR(VLOOKUP(A308,Hoja2!A:C,3,FALSE),"0")</f>
        <v>0</v>
      </c>
      <c r="J308" s="13">
        <f>+D308-I308</f>
        <v>168</v>
      </c>
    </row>
    <row r="309" spans="1:10" x14ac:dyDescent="0.25">
      <c r="A309" s="10">
        <v>550501</v>
      </c>
      <c r="B309" s="6" t="s">
        <v>151</v>
      </c>
      <c r="C309" s="7">
        <v>0</v>
      </c>
      <c r="D309" s="7">
        <v>27</v>
      </c>
      <c r="E309" s="8">
        <v>46286.758726851855</v>
      </c>
      <c r="F309" s="9">
        <v>46286</v>
      </c>
      <c r="G309" s="6" t="s">
        <v>130</v>
      </c>
      <c r="H309" s="12" t="s">
        <v>496</v>
      </c>
      <c r="I309" s="12" t="str">
        <f>IFERROR(VLOOKUP(A309,Hoja2!A:C,3,FALSE),"0")</f>
        <v>0</v>
      </c>
      <c r="J309" s="13">
        <f>+D309-I309</f>
        <v>27</v>
      </c>
    </row>
    <row r="310" spans="1:10" x14ac:dyDescent="0.25">
      <c r="A310" s="10">
        <v>550503</v>
      </c>
      <c r="B310" s="6" t="s">
        <v>354</v>
      </c>
      <c r="C310" s="7">
        <v>0</v>
      </c>
      <c r="D310" s="7">
        <v>16</v>
      </c>
      <c r="E310" s="8">
        <v>46286.760937500003</v>
      </c>
      <c r="F310" s="9">
        <v>46286</v>
      </c>
      <c r="G310" s="6" t="s">
        <v>130</v>
      </c>
      <c r="H310" s="12" t="s">
        <v>496</v>
      </c>
      <c r="I310" s="12" t="str">
        <f>IFERROR(VLOOKUP(A310,Hoja2!A:C,3,FALSE),"0")</f>
        <v>0</v>
      </c>
      <c r="J310" s="13">
        <f>+D310-I310</f>
        <v>16</v>
      </c>
    </row>
    <row r="311" spans="1:10" x14ac:dyDescent="0.25">
      <c r="A311" s="10">
        <v>550505</v>
      </c>
      <c r="B311" s="6" t="s">
        <v>152</v>
      </c>
      <c r="C311" s="7">
        <v>0</v>
      </c>
      <c r="D311" s="7">
        <v>0</v>
      </c>
      <c r="E311" s="8">
        <v>46224.486076388886</v>
      </c>
      <c r="F311" s="9">
        <v>46224</v>
      </c>
      <c r="G311" s="6" t="s">
        <v>130</v>
      </c>
      <c r="H311" s="12" t="s">
        <v>496</v>
      </c>
      <c r="I311" s="12" t="str">
        <f>IFERROR(VLOOKUP(A311,Hoja2!A:C,3,FALSE),"0")</f>
        <v>0</v>
      </c>
      <c r="J311" s="13">
        <f>+D311-I311</f>
        <v>0</v>
      </c>
    </row>
    <row r="312" spans="1:10" x14ac:dyDescent="0.25">
      <c r="A312" s="10">
        <v>550514</v>
      </c>
      <c r="B312" s="6" t="s">
        <v>355</v>
      </c>
      <c r="C312" s="7">
        <v>0</v>
      </c>
      <c r="D312" s="7">
        <v>0</v>
      </c>
      <c r="E312" s="8">
        <v>46224.486076388886</v>
      </c>
      <c r="F312" s="9">
        <v>46224</v>
      </c>
      <c r="G312" s="6" t="s">
        <v>130</v>
      </c>
      <c r="H312" s="12" t="s">
        <v>496</v>
      </c>
      <c r="I312" s="12" t="str">
        <f>IFERROR(VLOOKUP(A312,Hoja2!A:C,3,FALSE),"0")</f>
        <v>0</v>
      </c>
      <c r="J312" s="13">
        <f>+D312-I312</f>
        <v>0</v>
      </c>
    </row>
    <row r="313" spans="1:10" x14ac:dyDescent="0.25">
      <c r="A313" s="10">
        <v>550911</v>
      </c>
      <c r="B313" s="6" t="s">
        <v>153</v>
      </c>
      <c r="C313" s="7">
        <v>0</v>
      </c>
      <c r="D313" s="7">
        <v>152</v>
      </c>
      <c r="E313" s="8">
        <v>46266.733877314815</v>
      </c>
      <c r="F313" s="9">
        <v>46266</v>
      </c>
      <c r="G313" s="6" t="s">
        <v>130</v>
      </c>
      <c r="H313" s="12" t="s">
        <v>496</v>
      </c>
      <c r="I313" s="12" t="str">
        <f>IFERROR(VLOOKUP(A313,Hoja2!A:C,3,FALSE),"0")</f>
        <v>0</v>
      </c>
      <c r="J313" s="13">
        <f>+D313-I313</f>
        <v>152</v>
      </c>
    </row>
    <row r="314" spans="1:10" x14ac:dyDescent="0.25">
      <c r="A314" s="10">
        <v>550913</v>
      </c>
      <c r="B314" s="6" t="s">
        <v>154</v>
      </c>
      <c r="C314" s="7">
        <v>0</v>
      </c>
      <c r="D314" s="7">
        <v>104</v>
      </c>
      <c r="E314" s="8">
        <v>46266.733877314815</v>
      </c>
      <c r="F314" s="9">
        <v>46266</v>
      </c>
      <c r="G314" s="6" t="s">
        <v>130</v>
      </c>
      <c r="H314" s="12" t="s">
        <v>496</v>
      </c>
      <c r="I314" s="12" t="str">
        <f>IFERROR(VLOOKUP(A314,Hoja2!A:C,3,FALSE),"0")</f>
        <v>0</v>
      </c>
      <c r="J314" s="13">
        <f>+D314-I314</f>
        <v>104</v>
      </c>
    </row>
    <row r="315" spans="1:10" x14ac:dyDescent="0.25">
      <c r="A315" s="10">
        <v>550915</v>
      </c>
      <c r="B315" s="6" t="s">
        <v>155</v>
      </c>
      <c r="C315" s="7">
        <v>0</v>
      </c>
      <c r="D315" s="7">
        <v>90</v>
      </c>
      <c r="E315" s="8">
        <v>46286.760937500003</v>
      </c>
      <c r="F315" s="9">
        <v>46286</v>
      </c>
      <c r="G315" s="6" t="s">
        <v>130</v>
      </c>
      <c r="H315" s="12" t="s">
        <v>496</v>
      </c>
      <c r="I315" s="12" t="str">
        <f>IFERROR(VLOOKUP(A315,Hoja2!A:C,3,FALSE),"0")</f>
        <v>0</v>
      </c>
      <c r="J315" s="13">
        <f>+D315-I315</f>
        <v>90</v>
      </c>
    </row>
    <row r="316" spans="1:10" x14ac:dyDescent="0.25">
      <c r="A316" s="10">
        <v>550917</v>
      </c>
      <c r="B316" s="6" t="s">
        <v>156</v>
      </c>
      <c r="C316" s="7">
        <v>0</v>
      </c>
      <c r="D316" s="7">
        <v>99</v>
      </c>
      <c r="E316" s="8">
        <v>46266.733877314815</v>
      </c>
      <c r="F316" s="9">
        <v>46266</v>
      </c>
      <c r="G316" s="6" t="s">
        <v>130</v>
      </c>
      <c r="H316" s="12" t="s">
        <v>496</v>
      </c>
      <c r="I316" s="12" t="str">
        <f>IFERROR(VLOOKUP(A316,Hoja2!A:C,3,FALSE),"0")</f>
        <v>0</v>
      </c>
      <c r="J316" s="13">
        <f>+D316-I316</f>
        <v>99</v>
      </c>
    </row>
    <row r="317" spans="1:10" x14ac:dyDescent="0.25">
      <c r="A317" s="10">
        <v>560101</v>
      </c>
      <c r="B317" s="6" t="s">
        <v>157</v>
      </c>
      <c r="C317" s="7">
        <v>0</v>
      </c>
      <c r="D317" s="7">
        <v>44</v>
      </c>
      <c r="E317" s="8">
        <v>46286.760937500003</v>
      </c>
      <c r="F317" s="9">
        <v>46286</v>
      </c>
      <c r="G317" s="6" t="s">
        <v>130</v>
      </c>
      <c r="H317" s="12" t="s">
        <v>496</v>
      </c>
      <c r="I317" s="12" t="str">
        <f>IFERROR(VLOOKUP(A317,Hoja2!A:C,3,FALSE),"0")</f>
        <v>0</v>
      </c>
      <c r="J317" s="13">
        <f>+D317-I317</f>
        <v>44</v>
      </c>
    </row>
    <row r="318" spans="1:10" x14ac:dyDescent="0.25">
      <c r="A318" s="10">
        <v>560103</v>
      </c>
      <c r="B318" s="6" t="s">
        <v>158</v>
      </c>
      <c r="C318" s="7">
        <v>21</v>
      </c>
      <c r="D318" s="7">
        <v>44</v>
      </c>
      <c r="E318" s="8">
        <v>46286.760937500003</v>
      </c>
      <c r="F318" s="9">
        <v>46286</v>
      </c>
      <c r="G318" s="6" t="s">
        <v>130</v>
      </c>
      <c r="H318" s="12" t="s">
        <v>496</v>
      </c>
      <c r="I318" s="12" t="str">
        <f>IFERROR(VLOOKUP(A318,Hoja2!A:C,3,FALSE),"0")</f>
        <v>0</v>
      </c>
      <c r="J318" s="13">
        <f>+D318-I318</f>
        <v>44</v>
      </c>
    </row>
    <row r="319" spans="1:10" x14ac:dyDescent="0.25">
      <c r="A319" s="10">
        <v>560105</v>
      </c>
      <c r="B319" s="6" t="s">
        <v>159</v>
      </c>
      <c r="C319" s="7">
        <v>44</v>
      </c>
      <c r="D319" s="7">
        <v>30</v>
      </c>
      <c r="E319" s="8">
        <v>46269.519305555557</v>
      </c>
      <c r="F319" s="9">
        <v>46269</v>
      </c>
      <c r="G319" s="6" t="s">
        <v>130</v>
      </c>
      <c r="H319" s="12" t="s">
        <v>496</v>
      </c>
      <c r="I319" s="12" t="str">
        <f>IFERROR(VLOOKUP(A319,Hoja2!A:C,3,FALSE),"0")</f>
        <v>0</v>
      </c>
      <c r="J319" s="13">
        <f>+D319-I319</f>
        <v>30</v>
      </c>
    </row>
    <row r="320" spans="1:10" x14ac:dyDescent="0.25">
      <c r="A320" s="10">
        <v>560510</v>
      </c>
      <c r="B320" s="6" t="s">
        <v>160</v>
      </c>
      <c r="C320" s="7">
        <v>0</v>
      </c>
      <c r="D320" s="7">
        <v>34</v>
      </c>
      <c r="E320" s="8">
        <v>46286.760937500003</v>
      </c>
      <c r="F320" s="9">
        <v>46286</v>
      </c>
      <c r="G320" s="6" t="s">
        <v>130</v>
      </c>
      <c r="H320" s="12" t="s">
        <v>496</v>
      </c>
      <c r="I320" s="12" t="str">
        <f>IFERROR(VLOOKUP(A320,Hoja2!A:C,3,FALSE),"0")</f>
        <v>0</v>
      </c>
      <c r="J320" s="13">
        <f>+D320-I320</f>
        <v>34</v>
      </c>
    </row>
    <row r="321" spans="1:10" x14ac:dyDescent="0.25">
      <c r="A321" s="10">
        <v>560512</v>
      </c>
      <c r="B321" s="6" t="s">
        <v>161</v>
      </c>
      <c r="C321" s="7">
        <v>0</v>
      </c>
      <c r="D321" s="7">
        <v>12</v>
      </c>
      <c r="E321" s="8">
        <v>46269.519305555557</v>
      </c>
      <c r="F321" s="9">
        <v>46269</v>
      </c>
      <c r="G321" s="6" t="s">
        <v>130</v>
      </c>
      <c r="H321" s="12" t="s">
        <v>496</v>
      </c>
      <c r="I321" s="12" t="str">
        <f>IFERROR(VLOOKUP(A321,Hoja2!A:C,3,FALSE),"0")</f>
        <v>0</v>
      </c>
      <c r="J321" s="13">
        <f>+D321-I321</f>
        <v>12</v>
      </c>
    </row>
    <row r="322" spans="1:10" x14ac:dyDescent="0.25">
      <c r="A322" s="10">
        <v>590104</v>
      </c>
      <c r="B322" s="6" t="s">
        <v>358</v>
      </c>
      <c r="C322" s="7">
        <v>0</v>
      </c>
      <c r="D322" s="7">
        <v>0</v>
      </c>
      <c r="E322" s="8">
        <v>46276.475324074076</v>
      </c>
      <c r="F322" s="9">
        <v>46276</v>
      </c>
      <c r="G322" s="6" t="s">
        <v>60</v>
      </c>
      <c r="H322" s="12" t="s">
        <v>496</v>
      </c>
      <c r="I322" s="12" t="str">
        <f>IFERROR(VLOOKUP(A322,Hoja2!A:C,3,FALSE),"0")</f>
        <v>0</v>
      </c>
      <c r="J322" s="13">
        <f>+D322-I322</f>
        <v>0</v>
      </c>
    </row>
    <row r="323" spans="1:10" x14ac:dyDescent="0.25">
      <c r="A323" s="10">
        <v>590105</v>
      </c>
      <c r="B323" s="6" t="s">
        <v>359</v>
      </c>
      <c r="C323" s="7">
        <v>0</v>
      </c>
      <c r="D323" s="7">
        <v>0</v>
      </c>
      <c r="E323" s="8">
        <v>46276.475324074076</v>
      </c>
      <c r="F323" s="9">
        <v>46276</v>
      </c>
      <c r="G323" s="6" t="s">
        <v>60</v>
      </c>
      <c r="H323" s="12" t="s">
        <v>496</v>
      </c>
      <c r="I323" s="12" t="str">
        <f>IFERROR(VLOOKUP(A323,Hoja2!A:C,3,FALSE),"0")</f>
        <v>0</v>
      </c>
      <c r="J323" s="13">
        <f>+D323-I323</f>
        <v>0</v>
      </c>
    </row>
    <row r="324" spans="1:10" x14ac:dyDescent="0.25">
      <c r="A324" s="10">
        <v>590108</v>
      </c>
      <c r="B324" s="6" t="s">
        <v>377</v>
      </c>
      <c r="C324" s="7">
        <v>0</v>
      </c>
      <c r="D324" s="7">
        <v>0</v>
      </c>
      <c r="E324" s="8">
        <v>46249.057569444441</v>
      </c>
      <c r="F324" s="9">
        <v>46249</v>
      </c>
      <c r="G324" s="6" t="s">
        <v>60</v>
      </c>
      <c r="H324" s="12" t="s">
        <v>496</v>
      </c>
      <c r="I324" s="12" t="str">
        <f>IFERROR(VLOOKUP(A324,Hoja2!A:C,3,FALSE),"0")</f>
        <v>0</v>
      </c>
      <c r="J324" s="13">
        <f>+D324-I324</f>
        <v>0</v>
      </c>
    </row>
    <row r="325" spans="1:10" x14ac:dyDescent="0.25">
      <c r="A325" s="10">
        <v>590144</v>
      </c>
      <c r="B325" s="6" t="s">
        <v>319</v>
      </c>
      <c r="C325" s="7">
        <v>0</v>
      </c>
      <c r="D325" s="7">
        <v>0</v>
      </c>
      <c r="E325" s="8">
        <v>46249.057569444441</v>
      </c>
      <c r="F325" s="9">
        <v>46249</v>
      </c>
      <c r="G325" s="6" t="s">
        <v>60</v>
      </c>
      <c r="H325" s="12" t="s">
        <v>496</v>
      </c>
      <c r="I325" s="12" t="str">
        <f>IFERROR(VLOOKUP(A325,Hoja2!A:C,3,FALSE),"0")</f>
        <v>0</v>
      </c>
      <c r="J325" s="13">
        <f>+D325-I325</f>
        <v>0</v>
      </c>
    </row>
    <row r="326" spans="1:10" x14ac:dyDescent="0.25">
      <c r="A326" s="10">
        <v>590208</v>
      </c>
      <c r="B326" s="6" t="s">
        <v>381</v>
      </c>
      <c r="C326" s="7">
        <v>467</v>
      </c>
      <c r="D326" s="7">
        <v>524</v>
      </c>
      <c r="E326" s="8">
        <v>46294.986701388887</v>
      </c>
      <c r="F326" s="9">
        <v>46294</v>
      </c>
      <c r="G326" s="6" t="s">
        <v>60</v>
      </c>
      <c r="H326" s="12" t="s">
        <v>496</v>
      </c>
      <c r="I326" s="12" t="str">
        <f>IFERROR(VLOOKUP(A326,Hoja2!A:C,3,FALSE),"0")</f>
        <v>0</v>
      </c>
      <c r="J326" s="13">
        <f>+D326-I326</f>
        <v>524</v>
      </c>
    </row>
    <row r="327" spans="1:10" x14ac:dyDescent="0.25">
      <c r="A327" s="10">
        <v>590209</v>
      </c>
      <c r="B327" s="6" t="s">
        <v>287</v>
      </c>
      <c r="C327" s="7">
        <v>0</v>
      </c>
      <c r="D327" s="7">
        <v>630</v>
      </c>
      <c r="E327" s="8">
        <v>46293.773715277777</v>
      </c>
      <c r="F327" s="9">
        <v>46293</v>
      </c>
      <c r="G327" s="6" t="s">
        <v>60</v>
      </c>
      <c r="H327" s="12" t="s">
        <v>496</v>
      </c>
      <c r="I327" s="12" t="str">
        <f>IFERROR(VLOOKUP(A327,Hoja2!A:C,3,FALSE),"0")</f>
        <v>0</v>
      </c>
      <c r="J327" s="13">
        <f>+D327-I327</f>
        <v>630</v>
      </c>
    </row>
    <row r="328" spans="1:10" x14ac:dyDescent="0.25">
      <c r="A328" s="10">
        <v>590210</v>
      </c>
      <c r="B328" s="6" t="s">
        <v>288</v>
      </c>
      <c r="C328" s="7">
        <v>1976</v>
      </c>
      <c r="D328" s="7">
        <v>1099</v>
      </c>
      <c r="E328" s="8">
        <v>46293.773715277777</v>
      </c>
      <c r="F328" s="9">
        <v>46293</v>
      </c>
      <c r="G328" s="6" t="s">
        <v>60</v>
      </c>
      <c r="H328" s="12" t="s">
        <v>496</v>
      </c>
      <c r="I328" s="12" t="str">
        <f>IFERROR(VLOOKUP(A328,Hoja2!A:C,3,FALSE),"0")</f>
        <v>0</v>
      </c>
      <c r="J328" s="13">
        <f>+D328-I328</f>
        <v>1099</v>
      </c>
    </row>
    <row r="329" spans="1:10" x14ac:dyDescent="0.25">
      <c r="A329" s="10">
        <v>590211</v>
      </c>
      <c r="B329" s="6" t="s">
        <v>289</v>
      </c>
      <c r="C329" s="7">
        <v>0</v>
      </c>
      <c r="D329" s="7">
        <v>316</v>
      </c>
      <c r="E329" s="8">
        <v>46293.773715277777</v>
      </c>
      <c r="F329" s="9">
        <v>46293</v>
      </c>
      <c r="G329" s="6" t="s">
        <v>60</v>
      </c>
      <c r="H329" s="12" t="s">
        <v>496</v>
      </c>
      <c r="I329" s="12" t="str">
        <f>IFERROR(VLOOKUP(A329,Hoja2!A:C,3,FALSE),"0")</f>
        <v>0</v>
      </c>
      <c r="J329" s="13">
        <f>+D329-I329</f>
        <v>316</v>
      </c>
    </row>
    <row r="330" spans="1:10" x14ac:dyDescent="0.25">
      <c r="A330" s="10">
        <v>590228</v>
      </c>
      <c r="B330" s="6" t="s">
        <v>360</v>
      </c>
      <c r="C330" s="7">
        <v>0</v>
      </c>
      <c r="D330" s="7">
        <v>258</v>
      </c>
      <c r="E330" s="8">
        <v>46293.773715277777</v>
      </c>
      <c r="F330" s="9">
        <v>46293</v>
      </c>
      <c r="G330" s="6" t="s">
        <v>60</v>
      </c>
      <c r="H330" s="12" t="s">
        <v>496</v>
      </c>
      <c r="I330" s="12" t="str">
        <f>IFERROR(VLOOKUP(A330,Hoja2!A:C,3,FALSE),"0")</f>
        <v>0</v>
      </c>
      <c r="J330" s="13">
        <f>+D330-I330</f>
        <v>258</v>
      </c>
    </row>
    <row r="331" spans="1:10" x14ac:dyDescent="0.25">
      <c r="A331" s="10">
        <v>640000</v>
      </c>
      <c r="B331" s="6" t="s">
        <v>162</v>
      </c>
      <c r="C331" s="7">
        <v>25</v>
      </c>
      <c r="D331" s="7">
        <v>26</v>
      </c>
      <c r="E331" s="8">
        <v>46286.757037037038</v>
      </c>
      <c r="F331" s="9">
        <v>46286</v>
      </c>
      <c r="G331" s="6" t="s">
        <v>32</v>
      </c>
      <c r="H331" s="12" t="s">
        <v>496</v>
      </c>
      <c r="I331" s="12" t="str">
        <f>IFERROR(VLOOKUP(A331,Hoja2!A:C,3,FALSE),"0")</f>
        <v>0</v>
      </c>
      <c r="J331" s="13">
        <f>+D331-I331</f>
        <v>26</v>
      </c>
    </row>
    <row r="332" spans="1:10" x14ac:dyDescent="0.25">
      <c r="A332" s="10">
        <v>640002</v>
      </c>
      <c r="B332" s="6" t="s">
        <v>163</v>
      </c>
      <c r="C332" s="7">
        <v>0</v>
      </c>
      <c r="D332" s="7">
        <v>28</v>
      </c>
      <c r="E332" s="8">
        <v>46241.762557870374</v>
      </c>
      <c r="F332" s="9">
        <v>46241</v>
      </c>
      <c r="G332" s="6" t="s">
        <v>32</v>
      </c>
      <c r="H332" s="12" t="s">
        <v>496</v>
      </c>
      <c r="I332" s="12" t="str">
        <f>IFERROR(VLOOKUP(A332,Hoja2!A:C,3,FALSE),"0")</f>
        <v>0</v>
      </c>
      <c r="J332" s="13">
        <f>+D332-I332</f>
        <v>28</v>
      </c>
    </row>
    <row r="333" spans="1:10" x14ac:dyDescent="0.25">
      <c r="A333" s="10">
        <v>640005</v>
      </c>
      <c r="B333" s="6" t="s">
        <v>164</v>
      </c>
      <c r="C333" s="7">
        <v>0</v>
      </c>
      <c r="D333" s="7">
        <v>0</v>
      </c>
      <c r="E333" s="8">
        <v>46241.754733796297</v>
      </c>
      <c r="F333" s="9">
        <v>46241</v>
      </c>
      <c r="G333" s="6" t="s">
        <v>32</v>
      </c>
      <c r="H333" s="12" t="s">
        <v>496</v>
      </c>
      <c r="I333" s="12" t="str">
        <f>IFERROR(VLOOKUP(A333,Hoja2!A:C,3,FALSE),"0")</f>
        <v>0</v>
      </c>
      <c r="J333" s="13">
        <f>+D333-I333</f>
        <v>0</v>
      </c>
    </row>
    <row r="334" spans="1:10" x14ac:dyDescent="0.25">
      <c r="A334" s="10">
        <v>640007</v>
      </c>
      <c r="B334" s="6" t="s">
        <v>165</v>
      </c>
      <c r="C334" s="7">
        <v>0</v>
      </c>
      <c r="D334" s="7">
        <v>24</v>
      </c>
      <c r="E334" s="8">
        <v>46286.757037037038</v>
      </c>
      <c r="F334" s="9">
        <v>46286</v>
      </c>
      <c r="G334" s="6" t="s">
        <v>32</v>
      </c>
      <c r="H334" s="12" t="s">
        <v>496</v>
      </c>
      <c r="I334" s="12" t="str">
        <f>IFERROR(VLOOKUP(A334,Hoja2!A:C,3,FALSE),"0")</f>
        <v>0</v>
      </c>
      <c r="J334" s="13">
        <f>+D334-I334</f>
        <v>24</v>
      </c>
    </row>
    <row r="335" spans="1:10" x14ac:dyDescent="0.25">
      <c r="A335" s="10">
        <v>640008</v>
      </c>
      <c r="B335" s="6" t="s">
        <v>166</v>
      </c>
      <c r="C335" s="7">
        <v>0</v>
      </c>
      <c r="D335" s="7">
        <v>0</v>
      </c>
      <c r="E335" s="8">
        <v>46269.508969907409</v>
      </c>
      <c r="F335" s="9">
        <v>46269</v>
      </c>
      <c r="G335" s="6" t="s">
        <v>32</v>
      </c>
      <c r="H335" s="12" t="s">
        <v>496</v>
      </c>
      <c r="I335" s="12" t="str">
        <f>IFERROR(VLOOKUP(A335,Hoja2!A:C,3,FALSE),"0")</f>
        <v>0</v>
      </c>
      <c r="J335" s="13">
        <f>+D335-I335</f>
        <v>0</v>
      </c>
    </row>
    <row r="336" spans="1:10" x14ac:dyDescent="0.25">
      <c r="A336" s="10">
        <v>641004</v>
      </c>
      <c r="B336" s="6" t="s">
        <v>167</v>
      </c>
      <c r="C336" s="7">
        <v>0</v>
      </c>
      <c r="D336" s="7">
        <v>5</v>
      </c>
      <c r="E336" s="8">
        <v>46269.508969907409</v>
      </c>
      <c r="F336" s="9">
        <v>46269</v>
      </c>
      <c r="G336" s="6" t="s">
        <v>32</v>
      </c>
      <c r="H336" s="12" t="s">
        <v>496</v>
      </c>
      <c r="I336" s="12" t="str">
        <f>IFERROR(VLOOKUP(A336,Hoja2!A:C,3,FALSE),"0")</f>
        <v>0</v>
      </c>
      <c r="J336" s="13">
        <f>+D336-I336</f>
        <v>5</v>
      </c>
    </row>
    <row r="337" spans="1:10" x14ac:dyDescent="0.25">
      <c r="A337" s="10">
        <v>650101</v>
      </c>
      <c r="B337" s="6" t="s">
        <v>168</v>
      </c>
      <c r="C337" s="7">
        <v>8</v>
      </c>
      <c r="D337" s="7">
        <v>8</v>
      </c>
      <c r="E337" s="8">
        <v>46286.757037037038</v>
      </c>
      <c r="F337" s="9">
        <v>46286</v>
      </c>
      <c r="G337" s="6" t="s">
        <v>32</v>
      </c>
      <c r="H337" s="12" t="s">
        <v>496</v>
      </c>
      <c r="I337" s="12" t="str">
        <f>IFERROR(VLOOKUP(A337,Hoja2!A:C,3,FALSE),"0")</f>
        <v>0</v>
      </c>
      <c r="J337" s="13">
        <f>+D337-I337</f>
        <v>8</v>
      </c>
    </row>
    <row r="338" spans="1:10" x14ac:dyDescent="0.25">
      <c r="A338" s="10">
        <v>650102</v>
      </c>
      <c r="B338" s="6" t="s">
        <v>169</v>
      </c>
      <c r="C338" s="7">
        <v>1</v>
      </c>
      <c r="D338" s="7">
        <v>8</v>
      </c>
      <c r="E338" s="8">
        <v>46241.759930555556</v>
      </c>
      <c r="F338" s="9">
        <v>46241</v>
      </c>
      <c r="G338" s="6" t="s">
        <v>32</v>
      </c>
      <c r="H338" s="12" t="s">
        <v>496</v>
      </c>
      <c r="I338" s="12" t="str">
        <f>IFERROR(VLOOKUP(A338,Hoja2!A:C,3,FALSE),"0")</f>
        <v>0</v>
      </c>
      <c r="J338" s="13">
        <f>+D338-I338</f>
        <v>8</v>
      </c>
    </row>
    <row r="339" spans="1:10" x14ac:dyDescent="0.25">
      <c r="A339" s="10">
        <v>650103</v>
      </c>
      <c r="B339" s="6" t="s">
        <v>170</v>
      </c>
      <c r="C339" s="7">
        <v>0</v>
      </c>
      <c r="D339" s="7">
        <v>6</v>
      </c>
      <c r="E339" s="8">
        <v>46286.757037037038</v>
      </c>
      <c r="F339" s="9">
        <v>46286</v>
      </c>
      <c r="G339" s="6" t="s">
        <v>32</v>
      </c>
      <c r="H339" s="12" t="s">
        <v>496</v>
      </c>
      <c r="I339" s="12" t="str">
        <f>IFERROR(VLOOKUP(A339,Hoja2!A:C,3,FALSE),"0")</f>
        <v>0</v>
      </c>
      <c r="J339" s="13">
        <f>+D339-I339</f>
        <v>6</v>
      </c>
    </row>
    <row r="340" spans="1:10" x14ac:dyDescent="0.25">
      <c r="A340" s="10">
        <v>650104</v>
      </c>
      <c r="B340" s="6" t="s">
        <v>171</v>
      </c>
      <c r="C340" s="7">
        <v>0</v>
      </c>
      <c r="D340" s="7">
        <v>12</v>
      </c>
      <c r="E340" s="8">
        <v>46269.508969907409</v>
      </c>
      <c r="F340" s="9">
        <v>46269</v>
      </c>
      <c r="G340" s="6" t="s">
        <v>32</v>
      </c>
      <c r="H340" s="12" t="s">
        <v>496</v>
      </c>
      <c r="I340" s="12" t="str">
        <f>IFERROR(VLOOKUP(A340,Hoja2!A:C,3,FALSE),"0")</f>
        <v>0</v>
      </c>
      <c r="J340" s="13">
        <f>+D340-I340</f>
        <v>12</v>
      </c>
    </row>
    <row r="341" spans="1:10" x14ac:dyDescent="0.25">
      <c r="A341" s="10">
        <v>650112</v>
      </c>
      <c r="B341" s="6" t="s">
        <v>172</v>
      </c>
      <c r="C341" s="7">
        <v>2</v>
      </c>
      <c r="D341" s="7">
        <v>11</v>
      </c>
      <c r="E341" s="8">
        <v>46266.756793981483</v>
      </c>
      <c r="F341" s="9">
        <v>46266</v>
      </c>
      <c r="G341" s="6" t="s">
        <v>32</v>
      </c>
      <c r="H341" s="12" t="s">
        <v>496</v>
      </c>
      <c r="I341" s="12" t="str">
        <f>IFERROR(VLOOKUP(A341,Hoja2!A:C,3,FALSE),"0")</f>
        <v>0</v>
      </c>
      <c r="J341" s="13">
        <f>+D341-I341</f>
        <v>11</v>
      </c>
    </row>
    <row r="342" spans="1:10" x14ac:dyDescent="0.25">
      <c r="A342" s="10">
        <v>650113</v>
      </c>
      <c r="B342" s="6" t="s">
        <v>173</v>
      </c>
      <c r="C342" s="7">
        <v>0</v>
      </c>
      <c r="D342" s="7">
        <v>15</v>
      </c>
      <c r="E342" s="8">
        <v>46286.757037037038</v>
      </c>
      <c r="F342" s="9">
        <v>46286</v>
      </c>
      <c r="G342" s="6" t="s">
        <v>32</v>
      </c>
      <c r="H342" s="12" t="s">
        <v>496</v>
      </c>
      <c r="I342" s="12" t="str">
        <f>IFERROR(VLOOKUP(A342,Hoja2!A:C,3,FALSE),"0")</f>
        <v>0</v>
      </c>
      <c r="J342" s="13">
        <f>+D342-I342</f>
        <v>15</v>
      </c>
    </row>
    <row r="343" spans="1:10" x14ac:dyDescent="0.25">
      <c r="A343" s="10">
        <v>650114</v>
      </c>
      <c r="B343" s="6" t="s">
        <v>174</v>
      </c>
      <c r="C343" s="7">
        <v>1</v>
      </c>
      <c r="D343" s="7">
        <v>19</v>
      </c>
      <c r="E343" s="8">
        <v>46269.508969907409</v>
      </c>
      <c r="F343" s="9">
        <v>46269</v>
      </c>
      <c r="G343" s="6" t="s">
        <v>32</v>
      </c>
      <c r="H343" s="12" t="s">
        <v>496</v>
      </c>
      <c r="I343" s="12" t="str">
        <f>IFERROR(VLOOKUP(A343,Hoja2!A:C,3,FALSE),"0")</f>
        <v>0</v>
      </c>
      <c r="J343" s="13">
        <f>+D343-I343</f>
        <v>19</v>
      </c>
    </row>
    <row r="344" spans="1:10" x14ac:dyDescent="0.25">
      <c r="A344" s="10">
        <v>650121</v>
      </c>
      <c r="B344" s="6" t="s">
        <v>175</v>
      </c>
      <c r="C344" s="7">
        <v>0</v>
      </c>
      <c r="D344" s="7">
        <v>8</v>
      </c>
      <c r="E344" s="8">
        <v>46266.756793981483</v>
      </c>
      <c r="F344" s="9">
        <v>46266</v>
      </c>
      <c r="G344" s="6" t="s">
        <v>32</v>
      </c>
      <c r="H344" s="12" t="s">
        <v>496</v>
      </c>
      <c r="I344" s="12" t="str">
        <f>IFERROR(VLOOKUP(A344,Hoja2!A:C,3,FALSE),"0")</f>
        <v>0</v>
      </c>
      <c r="J344" s="13">
        <f>+D344-I344</f>
        <v>8</v>
      </c>
    </row>
    <row r="345" spans="1:10" x14ac:dyDescent="0.25">
      <c r="A345" s="10">
        <v>650122</v>
      </c>
      <c r="B345" s="6" t="s">
        <v>176</v>
      </c>
      <c r="C345" s="7">
        <v>0</v>
      </c>
      <c r="D345" s="7">
        <v>18</v>
      </c>
      <c r="E345" s="8">
        <v>46241.762557870374</v>
      </c>
      <c r="F345" s="9">
        <v>46241</v>
      </c>
      <c r="G345" s="6" t="s">
        <v>32</v>
      </c>
      <c r="H345" s="12" t="s">
        <v>496</v>
      </c>
      <c r="I345" s="12" t="str">
        <f>IFERROR(VLOOKUP(A345,Hoja2!A:C,3,FALSE),"0")</f>
        <v>0</v>
      </c>
      <c r="J345" s="13">
        <f>+D345-I345</f>
        <v>18</v>
      </c>
    </row>
    <row r="346" spans="1:10" x14ac:dyDescent="0.25">
      <c r="A346" s="10">
        <v>650123</v>
      </c>
      <c r="B346" s="6" t="s">
        <v>177</v>
      </c>
      <c r="C346" s="7">
        <v>0</v>
      </c>
      <c r="D346" s="7">
        <v>16</v>
      </c>
      <c r="E346" s="8">
        <v>46286.757037037038</v>
      </c>
      <c r="F346" s="9">
        <v>46286</v>
      </c>
      <c r="G346" s="6" t="s">
        <v>32</v>
      </c>
      <c r="H346" s="12" t="s">
        <v>496</v>
      </c>
      <c r="I346" s="12" t="str">
        <f>IFERROR(VLOOKUP(A346,Hoja2!A:C,3,FALSE),"0")</f>
        <v>0</v>
      </c>
      <c r="J346" s="13">
        <f>+D346-I346</f>
        <v>16</v>
      </c>
    </row>
    <row r="347" spans="1:10" x14ac:dyDescent="0.25">
      <c r="A347" s="10">
        <v>650124</v>
      </c>
      <c r="B347" s="6" t="s">
        <v>178</v>
      </c>
      <c r="C347" s="7">
        <v>0</v>
      </c>
      <c r="D347" s="7">
        <v>14</v>
      </c>
      <c r="E347" s="8">
        <v>46269.585625</v>
      </c>
      <c r="F347" s="9">
        <v>46269</v>
      </c>
      <c r="G347" s="6" t="s">
        <v>32</v>
      </c>
      <c r="H347" s="12" t="s">
        <v>496</v>
      </c>
      <c r="I347" s="12" t="str">
        <f>IFERROR(VLOOKUP(A347,Hoja2!A:C,3,FALSE),"0")</f>
        <v>0</v>
      </c>
      <c r="J347" s="13">
        <f>+D347-I347</f>
        <v>14</v>
      </c>
    </row>
    <row r="348" spans="1:10" x14ac:dyDescent="0.25">
      <c r="A348" s="10">
        <v>650131</v>
      </c>
      <c r="B348" s="6" t="s">
        <v>179</v>
      </c>
      <c r="C348" s="7">
        <v>4</v>
      </c>
      <c r="D348" s="7">
        <v>8</v>
      </c>
      <c r="E348" s="8">
        <v>46286.757037037038</v>
      </c>
      <c r="F348" s="9">
        <v>46286</v>
      </c>
      <c r="G348" s="6" t="s">
        <v>32</v>
      </c>
      <c r="H348" s="12" t="s">
        <v>496</v>
      </c>
      <c r="I348" s="12" t="str">
        <f>IFERROR(VLOOKUP(A348,Hoja2!A:C,3,FALSE),"0")</f>
        <v>0</v>
      </c>
      <c r="J348" s="13">
        <f>+D348-I348</f>
        <v>8</v>
      </c>
    </row>
    <row r="349" spans="1:10" x14ac:dyDescent="0.25">
      <c r="A349" s="10">
        <v>650132</v>
      </c>
      <c r="B349" s="6" t="s">
        <v>180</v>
      </c>
      <c r="C349" s="7">
        <v>0</v>
      </c>
      <c r="D349" s="7">
        <v>17</v>
      </c>
      <c r="E349" s="8">
        <v>46286.757037037038</v>
      </c>
      <c r="F349" s="9">
        <v>46286</v>
      </c>
      <c r="G349" s="6" t="s">
        <v>32</v>
      </c>
      <c r="H349" s="12" t="s">
        <v>496</v>
      </c>
      <c r="I349" s="12" t="str">
        <f>IFERROR(VLOOKUP(A349,Hoja2!A:C,3,FALSE),"0")</f>
        <v>0</v>
      </c>
      <c r="J349" s="13">
        <f>+D349-I349</f>
        <v>17</v>
      </c>
    </row>
    <row r="350" spans="1:10" x14ac:dyDescent="0.25">
      <c r="A350" s="10">
        <v>650133</v>
      </c>
      <c r="B350" s="6" t="s">
        <v>181</v>
      </c>
      <c r="C350" s="7">
        <v>0</v>
      </c>
      <c r="D350" s="7">
        <v>20</v>
      </c>
      <c r="E350" s="8">
        <v>46241.749918981484</v>
      </c>
      <c r="F350" s="9">
        <v>46241</v>
      </c>
      <c r="G350" s="6" t="s">
        <v>32</v>
      </c>
      <c r="H350" s="12" t="s">
        <v>496</v>
      </c>
      <c r="I350" s="12" t="str">
        <f>IFERROR(VLOOKUP(A350,Hoja2!A:C,3,FALSE),"0")</f>
        <v>0</v>
      </c>
      <c r="J350" s="13">
        <f>+D350-I350</f>
        <v>20</v>
      </c>
    </row>
    <row r="351" spans="1:10" x14ac:dyDescent="0.25">
      <c r="A351" s="10">
        <v>650134</v>
      </c>
      <c r="B351" s="6" t="s">
        <v>182</v>
      </c>
      <c r="C351" s="7">
        <v>0</v>
      </c>
      <c r="D351" s="7">
        <v>11</v>
      </c>
      <c r="E351" s="8">
        <v>46241.762557870374</v>
      </c>
      <c r="F351" s="9">
        <v>46241</v>
      </c>
      <c r="G351" s="6" t="s">
        <v>32</v>
      </c>
      <c r="H351" s="12" t="s">
        <v>496</v>
      </c>
      <c r="I351" s="12" t="str">
        <f>IFERROR(VLOOKUP(A351,Hoja2!A:C,3,FALSE),"0")</f>
        <v>0</v>
      </c>
      <c r="J351" s="13">
        <f>+D351-I351</f>
        <v>11</v>
      </c>
    </row>
    <row r="352" spans="1:10" x14ac:dyDescent="0.25">
      <c r="A352" s="10">
        <v>650200</v>
      </c>
      <c r="B352" s="6" t="s">
        <v>183</v>
      </c>
      <c r="C352" s="7">
        <v>0</v>
      </c>
      <c r="D352" s="7">
        <v>0</v>
      </c>
      <c r="E352" s="8">
        <v>46266.789594907408</v>
      </c>
      <c r="F352" s="9">
        <v>46266</v>
      </c>
      <c r="G352" s="6" t="s">
        <v>32</v>
      </c>
      <c r="H352" s="12" t="s">
        <v>496</v>
      </c>
      <c r="I352" s="12" t="str">
        <f>IFERROR(VLOOKUP(A352,Hoja2!A:C,3,FALSE),"0")</f>
        <v>0</v>
      </c>
      <c r="J352" s="13">
        <f>+D352-I352</f>
        <v>0</v>
      </c>
    </row>
    <row r="353" spans="1:10" x14ac:dyDescent="0.25">
      <c r="A353" s="10">
        <v>650202</v>
      </c>
      <c r="B353" s="6" t="s">
        <v>184</v>
      </c>
      <c r="C353" s="7">
        <v>69</v>
      </c>
      <c r="D353" s="7">
        <v>88</v>
      </c>
      <c r="E353" s="8">
        <v>46266.767650462964</v>
      </c>
      <c r="F353" s="9">
        <v>46266</v>
      </c>
      <c r="G353" s="6" t="s">
        <v>32</v>
      </c>
      <c r="H353" s="12" t="s">
        <v>496</v>
      </c>
      <c r="I353" s="12" t="str">
        <f>IFERROR(VLOOKUP(A353,Hoja2!A:C,3,FALSE),"0")</f>
        <v>0</v>
      </c>
      <c r="J353" s="13">
        <f>+D353-I353</f>
        <v>88</v>
      </c>
    </row>
    <row r="354" spans="1:10" x14ac:dyDescent="0.25">
      <c r="A354" s="10">
        <v>650256</v>
      </c>
      <c r="B354" s="6" t="s">
        <v>185</v>
      </c>
      <c r="C354" s="7">
        <v>0</v>
      </c>
      <c r="D354" s="7">
        <v>51</v>
      </c>
      <c r="E354" s="8">
        <v>46294.986701388887</v>
      </c>
      <c r="F354" s="9">
        <v>46294</v>
      </c>
      <c r="G354" s="6" t="s">
        <v>32</v>
      </c>
      <c r="H354" s="12" t="s">
        <v>496</v>
      </c>
      <c r="I354" s="12" t="str">
        <f>IFERROR(VLOOKUP(A354,Hoja2!A:C,3,FALSE),"0")</f>
        <v>0</v>
      </c>
      <c r="J354" s="13">
        <f>+D354-I354</f>
        <v>51</v>
      </c>
    </row>
    <row r="355" spans="1:10" x14ac:dyDescent="0.25">
      <c r="A355" s="10">
        <v>650257</v>
      </c>
      <c r="B355" s="6" t="s">
        <v>186</v>
      </c>
      <c r="C355" s="7">
        <v>0</v>
      </c>
      <c r="D355" s="7">
        <v>15</v>
      </c>
      <c r="E355" s="8">
        <v>46241.762557870374</v>
      </c>
      <c r="F355" s="9">
        <v>46241</v>
      </c>
      <c r="G355" s="6" t="s">
        <v>32</v>
      </c>
      <c r="H355" s="12" t="s">
        <v>496</v>
      </c>
      <c r="I355" s="12" t="str">
        <f>IFERROR(VLOOKUP(A355,Hoja2!A:C,3,FALSE),"0")</f>
        <v>0</v>
      </c>
      <c r="J355" s="13">
        <f>+D355-I355</f>
        <v>15</v>
      </c>
    </row>
    <row r="356" spans="1:10" x14ac:dyDescent="0.25">
      <c r="A356" s="10">
        <v>650303</v>
      </c>
      <c r="B356" s="6" t="s">
        <v>187</v>
      </c>
      <c r="C356" s="7">
        <v>0</v>
      </c>
      <c r="D356" s="7">
        <v>0</v>
      </c>
      <c r="E356" s="8">
        <v>46269.513136574074</v>
      </c>
      <c r="F356" s="9">
        <v>46269</v>
      </c>
      <c r="G356" s="6" t="s">
        <v>32</v>
      </c>
      <c r="H356" s="12" t="s">
        <v>496</v>
      </c>
      <c r="I356" s="12" t="str">
        <f>IFERROR(VLOOKUP(A356,Hoja2!A:C,3,FALSE),"0")</f>
        <v>0</v>
      </c>
      <c r="J356" s="13">
        <f>+D356-I356</f>
        <v>0</v>
      </c>
    </row>
    <row r="357" spans="1:10" x14ac:dyDescent="0.25">
      <c r="A357" s="10">
        <v>651250</v>
      </c>
      <c r="B357" s="6" t="s">
        <v>188</v>
      </c>
      <c r="C357" s="7">
        <v>0</v>
      </c>
      <c r="D357" s="7">
        <v>10</v>
      </c>
      <c r="E357" s="8">
        <v>46241.749918981484</v>
      </c>
      <c r="F357" s="9">
        <v>46241</v>
      </c>
      <c r="G357" s="6" t="s">
        <v>32</v>
      </c>
      <c r="H357" s="12" t="s">
        <v>496</v>
      </c>
      <c r="I357" s="12" t="str">
        <f>IFERROR(VLOOKUP(A357,Hoja2!A:C,3,FALSE),"0")</f>
        <v>0</v>
      </c>
      <c r="J357" s="13">
        <f>+D357-I357</f>
        <v>10</v>
      </c>
    </row>
    <row r="358" spans="1:10" x14ac:dyDescent="0.25">
      <c r="A358" s="10">
        <v>651251</v>
      </c>
      <c r="B358" s="6" t="s">
        <v>189</v>
      </c>
      <c r="C358" s="7">
        <v>0</v>
      </c>
      <c r="D358" s="7">
        <v>8</v>
      </c>
      <c r="E358" s="8">
        <v>46241.754004629627</v>
      </c>
      <c r="F358" s="9">
        <v>46241</v>
      </c>
      <c r="G358" s="6" t="s">
        <v>32</v>
      </c>
      <c r="H358" s="12" t="s">
        <v>496</v>
      </c>
      <c r="I358" s="12" t="str">
        <f>IFERROR(VLOOKUP(A358,Hoja2!A:C,3,FALSE),"0")</f>
        <v>0</v>
      </c>
      <c r="J358" s="13">
        <f>+D358-I358</f>
        <v>8</v>
      </c>
    </row>
    <row r="359" spans="1:10" x14ac:dyDescent="0.25">
      <c r="A359" s="10">
        <v>651300</v>
      </c>
      <c r="B359" s="6" t="s">
        <v>190</v>
      </c>
      <c r="C359" s="7">
        <v>4</v>
      </c>
      <c r="D359" s="7">
        <v>21</v>
      </c>
      <c r="E359" s="8">
        <v>46241.754004629627</v>
      </c>
      <c r="F359" s="9">
        <v>46241</v>
      </c>
      <c r="G359" s="6" t="s">
        <v>32</v>
      </c>
      <c r="H359" s="12" t="s">
        <v>496</v>
      </c>
      <c r="I359" s="12" t="str">
        <f>IFERROR(VLOOKUP(A359,Hoja2!A:C,3,FALSE),"0")</f>
        <v>0</v>
      </c>
      <c r="J359" s="13">
        <f>+D359-I359</f>
        <v>21</v>
      </c>
    </row>
    <row r="360" spans="1:10" x14ac:dyDescent="0.25">
      <c r="A360" s="10">
        <v>660000</v>
      </c>
      <c r="B360" s="6" t="s">
        <v>191</v>
      </c>
      <c r="C360" s="7">
        <v>0</v>
      </c>
      <c r="D360" s="7">
        <v>144</v>
      </c>
      <c r="E360" s="8">
        <v>46286.761412037034</v>
      </c>
      <c r="F360" s="9">
        <v>46286</v>
      </c>
      <c r="G360" s="6" t="s">
        <v>32</v>
      </c>
      <c r="H360" s="12" t="s">
        <v>496</v>
      </c>
      <c r="I360" s="12" t="str">
        <f>IFERROR(VLOOKUP(A360,Hoja2!A:C,3,FALSE),"0")</f>
        <v>0</v>
      </c>
      <c r="J360" s="13">
        <f>+D360-I360</f>
        <v>144</v>
      </c>
    </row>
    <row r="361" spans="1:10" x14ac:dyDescent="0.25">
      <c r="A361" s="10">
        <v>660001</v>
      </c>
      <c r="B361" s="6" t="s">
        <v>285</v>
      </c>
      <c r="C361" s="7">
        <v>0</v>
      </c>
      <c r="D361" s="7">
        <v>0</v>
      </c>
      <c r="E361" s="8">
        <v>46266.734537037039</v>
      </c>
      <c r="F361" s="9">
        <v>46266</v>
      </c>
      <c r="G361" s="6" t="s">
        <v>32</v>
      </c>
      <c r="H361" s="12" t="s">
        <v>496</v>
      </c>
      <c r="I361" s="12" t="str">
        <f>IFERROR(VLOOKUP(A361,Hoja2!A:C,3,FALSE),"0")</f>
        <v>0</v>
      </c>
      <c r="J361" s="13">
        <f>+D361-I361</f>
        <v>0</v>
      </c>
    </row>
    <row r="362" spans="1:10" x14ac:dyDescent="0.25">
      <c r="A362" s="10">
        <v>660002</v>
      </c>
      <c r="B362" s="6" t="s">
        <v>192</v>
      </c>
      <c r="C362" s="7">
        <v>0</v>
      </c>
      <c r="D362" s="7">
        <v>0</v>
      </c>
      <c r="E362" s="8">
        <v>46168.649386574078</v>
      </c>
      <c r="F362" s="9">
        <v>46168</v>
      </c>
      <c r="G362" s="6" t="s">
        <v>32</v>
      </c>
      <c r="H362" s="12" t="s">
        <v>496</v>
      </c>
      <c r="I362" s="12" t="str">
        <f>IFERROR(VLOOKUP(A362,Hoja2!A:C,3,FALSE),"0")</f>
        <v>0</v>
      </c>
      <c r="J362" s="13">
        <f>+D362-I362</f>
        <v>0</v>
      </c>
    </row>
    <row r="363" spans="1:10" x14ac:dyDescent="0.25">
      <c r="A363" s="10">
        <v>660003</v>
      </c>
      <c r="B363" s="6" t="s">
        <v>193</v>
      </c>
      <c r="C363" s="7">
        <v>70</v>
      </c>
      <c r="D363" s="7">
        <v>27</v>
      </c>
      <c r="E363" s="8">
        <v>46241.736909722225</v>
      </c>
      <c r="F363" s="9">
        <v>46241</v>
      </c>
      <c r="G363" s="6" t="s">
        <v>32</v>
      </c>
      <c r="H363" s="12" t="s">
        <v>496</v>
      </c>
      <c r="I363" s="12" t="str">
        <f>IFERROR(VLOOKUP(A363,Hoja2!A:C,3,FALSE),"0")</f>
        <v>0</v>
      </c>
      <c r="J363" s="13">
        <f>+D363-I363</f>
        <v>27</v>
      </c>
    </row>
    <row r="364" spans="1:10" x14ac:dyDescent="0.25">
      <c r="A364" s="10">
        <v>830001</v>
      </c>
      <c r="B364" s="6" t="s">
        <v>298</v>
      </c>
      <c r="C364" s="7">
        <v>0</v>
      </c>
      <c r="D364" s="7">
        <v>3</v>
      </c>
      <c r="E364" s="8">
        <v>46203.745405092595</v>
      </c>
      <c r="F364" s="9">
        <v>46203</v>
      </c>
      <c r="G364" s="6" t="s">
        <v>195</v>
      </c>
      <c r="H364" s="12" t="s">
        <v>496</v>
      </c>
      <c r="I364" s="12" t="str">
        <f>IFERROR(VLOOKUP(A364,Hoja2!A:C,3,FALSE),"0")</f>
        <v>0</v>
      </c>
      <c r="J364" s="13">
        <f>+D364-I364</f>
        <v>3</v>
      </c>
    </row>
    <row r="365" spans="1:10" x14ac:dyDescent="0.25">
      <c r="A365" s="10">
        <v>830002</v>
      </c>
      <c r="B365" s="6" t="s">
        <v>194</v>
      </c>
      <c r="C365" s="7">
        <v>0</v>
      </c>
      <c r="D365" s="7">
        <v>0</v>
      </c>
      <c r="E365" s="8">
        <v>46203.745405092595</v>
      </c>
      <c r="F365" s="9">
        <v>46203</v>
      </c>
      <c r="G365" s="6" t="s">
        <v>195</v>
      </c>
      <c r="H365" s="12" t="s">
        <v>496</v>
      </c>
      <c r="I365" s="12" t="str">
        <f>IFERROR(VLOOKUP(A365,Hoja2!A:C,3,FALSE),"0")</f>
        <v>0</v>
      </c>
      <c r="J365" s="13">
        <f>+D365-I365</f>
        <v>0</v>
      </c>
    </row>
    <row r="366" spans="1:10" x14ac:dyDescent="0.25">
      <c r="A366" s="10">
        <v>830003</v>
      </c>
      <c r="B366" s="6" t="s">
        <v>299</v>
      </c>
      <c r="C366" s="7">
        <v>0</v>
      </c>
      <c r="D366" s="7">
        <v>0</v>
      </c>
      <c r="E366" s="8">
        <v>46203.745405092595</v>
      </c>
      <c r="F366" s="9">
        <v>46203</v>
      </c>
      <c r="G366" s="6" t="s">
        <v>195</v>
      </c>
      <c r="H366" s="12" t="s">
        <v>496</v>
      </c>
      <c r="I366" s="12" t="str">
        <f>IFERROR(VLOOKUP(A366,Hoja2!A:C,3,FALSE),"0")</f>
        <v>0</v>
      </c>
      <c r="J366" s="13">
        <f>+D366-I366</f>
        <v>0</v>
      </c>
    </row>
    <row r="367" spans="1:10" x14ac:dyDescent="0.25">
      <c r="A367" s="10">
        <v>830004</v>
      </c>
      <c r="B367" s="6" t="s">
        <v>300</v>
      </c>
      <c r="C367" s="7">
        <v>0</v>
      </c>
      <c r="D367" s="7">
        <v>0</v>
      </c>
      <c r="E367" s="8">
        <v>46203.745405092595</v>
      </c>
      <c r="F367" s="9">
        <v>46203</v>
      </c>
      <c r="G367" s="6" t="s">
        <v>195</v>
      </c>
      <c r="H367" s="12" t="s">
        <v>496</v>
      </c>
      <c r="I367" s="12" t="str">
        <f>IFERROR(VLOOKUP(A367,Hoja2!A:C,3,FALSE),"0")</f>
        <v>0</v>
      </c>
      <c r="J367" s="13">
        <f>+D367-I367</f>
        <v>0</v>
      </c>
    </row>
    <row r="368" spans="1:10" x14ac:dyDescent="0.25">
      <c r="A368" s="10">
        <v>830005</v>
      </c>
      <c r="B368" s="6" t="s">
        <v>196</v>
      </c>
      <c r="C368" s="7">
        <v>0</v>
      </c>
      <c r="D368" s="7">
        <v>5</v>
      </c>
      <c r="E368" s="8">
        <v>46203.745405092595</v>
      </c>
      <c r="F368" s="9">
        <v>46203</v>
      </c>
      <c r="G368" s="6" t="s">
        <v>195</v>
      </c>
      <c r="H368" s="12" t="s">
        <v>496</v>
      </c>
      <c r="I368" s="12" t="str">
        <f>IFERROR(VLOOKUP(A368,Hoja2!A:C,3,FALSE),"0")</f>
        <v>0</v>
      </c>
      <c r="J368" s="13">
        <f>+D368-I368</f>
        <v>5</v>
      </c>
    </row>
    <row r="369" spans="1:10" x14ac:dyDescent="0.25">
      <c r="A369" s="10">
        <v>830006</v>
      </c>
      <c r="B369" s="6" t="s">
        <v>301</v>
      </c>
      <c r="C369" s="7">
        <v>0</v>
      </c>
      <c r="D369" s="7">
        <v>0</v>
      </c>
      <c r="E369" s="8">
        <v>46203.745405092595</v>
      </c>
      <c r="F369" s="9">
        <v>46203</v>
      </c>
      <c r="G369" s="6" t="s">
        <v>195</v>
      </c>
      <c r="H369" s="12" t="s">
        <v>496</v>
      </c>
      <c r="I369" s="12" t="str">
        <f>IFERROR(VLOOKUP(A369,Hoja2!A:C,3,FALSE),"0")</f>
        <v>0</v>
      </c>
      <c r="J369" s="13">
        <f>+D369-I369</f>
        <v>0</v>
      </c>
    </row>
    <row r="370" spans="1:10" x14ac:dyDescent="0.25">
      <c r="A370" s="10">
        <v>830007</v>
      </c>
      <c r="B370" s="6" t="s">
        <v>197</v>
      </c>
      <c r="C370" s="7">
        <v>0</v>
      </c>
      <c r="D370" s="7">
        <v>0</v>
      </c>
      <c r="E370" s="8">
        <v>46203.745405092595</v>
      </c>
      <c r="F370" s="9">
        <v>46203</v>
      </c>
      <c r="G370" s="6" t="s">
        <v>195</v>
      </c>
      <c r="H370" s="12" t="s">
        <v>496</v>
      </c>
      <c r="I370" s="12" t="str">
        <f>IFERROR(VLOOKUP(A370,Hoja2!A:C,3,FALSE),"0")</f>
        <v>0</v>
      </c>
      <c r="J370" s="13">
        <f>+D370-I370</f>
        <v>0</v>
      </c>
    </row>
    <row r="371" spans="1:10" x14ac:dyDescent="0.25">
      <c r="A371" s="10">
        <v>830008</v>
      </c>
      <c r="B371" s="6" t="s">
        <v>198</v>
      </c>
      <c r="C371" s="7">
        <v>0</v>
      </c>
      <c r="D371" s="7">
        <v>15</v>
      </c>
      <c r="E371" s="8">
        <v>46203.745405092595</v>
      </c>
      <c r="F371" s="9">
        <v>46203</v>
      </c>
      <c r="G371" s="6" t="s">
        <v>195</v>
      </c>
      <c r="H371" s="12" t="s">
        <v>496</v>
      </c>
      <c r="I371" s="12" t="str">
        <f>IFERROR(VLOOKUP(A371,Hoja2!A:C,3,FALSE),"0")</f>
        <v>0</v>
      </c>
      <c r="J371" s="13">
        <f>+D371-I371</f>
        <v>15</v>
      </c>
    </row>
    <row r="372" spans="1:10" x14ac:dyDescent="0.25">
      <c r="A372" s="10">
        <v>830009</v>
      </c>
      <c r="B372" s="6" t="s">
        <v>199</v>
      </c>
      <c r="C372" s="7">
        <v>0</v>
      </c>
      <c r="D372" s="7">
        <v>5</v>
      </c>
      <c r="E372" s="8">
        <v>46203.745405092595</v>
      </c>
      <c r="F372" s="9">
        <v>46203</v>
      </c>
      <c r="G372" s="6" t="s">
        <v>195</v>
      </c>
      <c r="H372" s="12" t="s">
        <v>496</v>
      </c>
      <c r="I372" s="12" t="str">
        <f>IFERROR(VLOOKUP(A372,Hoja2!A:C,3,FALSE),"0")</f>
        <v>0</v>
      </c>
      <c r="J372" s="13">
        <f>+D372-I372</f>
        <v>5</v>
      </c>
    </row>
  </sheetData>
  <autoFilter ref="A1:J372">
    <sortState ref="A2:J372">
      <sortCondition ref="A1:A372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A2" sqref="A2:A92"/>
    </sheetView>
  </sheetViews>
  <sheetFormatPr baseColWidth="10" defaultRowHeight="15" x14ac:dyDescent="0.25"/>
  <sheetData>
    <row r="1" spans="1:3" s="11" customFormat="1" x14ac:dyDescent="0.25">
      <c r="A1" s="11" t="s">
        <v>493</v>
      </c>
      <c r="B1" s="11" t="s">
        <v>494</v>
      </c>
      <c r="C1" s="11" t="s">
        <v>495</v>
      </c>
    </row>
    <row r="2" spans="1:3" x14ac:dyDescent="0.25">
      <c r="A2" s="10">
        <v>530024</v>
      </c>
      <c r="B2" s="12" t="s">
        <v>406</v>
      </c>
      <c r="C2" s="13">
        <v>200</v>
      </c>
    </row>
    <row r="3" spans="1:3" x14ac:dyDescent="0.25">
      <c r="A3" s="10">
        <v>530025</v>
      </c>
      <c r="B3" s="12" t="s">
        <v>407</v>
      </c>
      <c r="C3" s="13">
        <v>240</v>
      </c>
    </row>
    <row r="4" spans="1:3" x14ac:dyDescent="0.25">
      <c r="A4" s="10">
        <v>530033</v>
      </c>
      <c r="B4" s="12" t="s">
        <v>408</v>
      </c>
      <c r="C4" s="13">
        <v>20</v>
      </c>
    </row>
    <row r="5" spans="1:3" x14ac:dyDescent="0.25">
      <c r="A5" s="10">
        <v>530305</v>
      </c>
      <c r="B5" s="12" t="s">
        <v>409</v>
      </c>
      <c r="C5" s="13">
        <v>140</v>
      </c>
    </row>
    <row r="6" spans="1:3" x14ac:dyDescent="0.25">
      <c r="A6" s="10">
        <v>530306</v>
      </c>
      <c r="B6" s="12" t="s">
        <v>410</v>
      </c>
      <c r="C6" s="13">
        <v>210</v>
      </c>
    </row>
    <row r="7" spans="1:3" x14ac:dyDescent="0.25">
      <c r="A7" s="10">
        <v>531505</v>
      </c>
      <c r="B7" s="12" t="s">
        <v>411</v>
      </c>
      <c r="C7" s="13">
        <v>18.2</v>
      </c>
    </row>
    <row r="8" spans="1:3" x14ac:dyDescent="0.25">
      <c r="A8" s="10">
        <v>531835</v>
      </c>
      <c r="B8" s="12" t="s">
        <v>412</v>
      </c>
      <c r="C8" s="13">
        <v>70</v>
      </c>
    </row>
    <row r="9" spans="1:3" x14ac:dyDescent="0.25">
      <c r="A9" s="10">
        <v>533001</v>
      </c>
      <c r="B9" s="12" t="s">
        <v>413</v>
      </c>
      <c r="C9" s="13">
        <v>62</v>
      </c>
    </row>
    <row r="10" spans="1:3" x14ac:dyDescent="0.25">
      <c r="A10" s="10">
        <v>533002</v>
      </c>
      <c r="B10" s="12" t="s">
        <v>414</v>
      </c>
      <c r="C10" s="13">
        <v>12.4</v>
      </c>
    </row>
    <row r="11" spans="1:3" x14ac:dyDescent="0.25">
      <c r="A11" s="10">
        <v>533018</v>
      </c>
      <c r="B11" s="12" t="s">
        <v>415</v>
      </c>
      <c r="C11" s="13">
        <v>12.5</v>
      </c>
    </row>
    <row r="12" spans="1:3" x14ac:dyDescent="0.25">
      <c r="A12" s="10">
        <v>212001</v>
      </c>
      <c r="B12" s="12" t="s">
        <v>416</v>
      </c>
      <c r="C12" s="13">
        <v>30</v>
      </c>
    </row>
    <row r="13" spans="1:3" x14ac:dyDescent="0.25">
      <c r="A13" s="10">
        <v>534203</v>
      </c>
      <c r="B13" s="12" t="s">
        <v>417</v>
      </c>
      <c r="C13" s="13">
        <v>3925</v>
      </c>
    </row>
    <row r="14" spans="1:3" x14ac:dyDescent="0.25">
      <c r="A14" s="10">
        <v>534213</v>
      </c>
      <c r="B14" s="12" t="s">
        <v>418</v>
      </c>
      <c r="C14" s="13">
        <v>488.6</v>
      </c>
    </row>
    <row r="15" spans="1:3" x14ac:dyDescent="0.25">
      <c r="A15" s="10">
        <v>534504</v>
      </c>
      <c r="B15" s="12" t="s">
        <v>419</v>
      </c>
      <c r="C15" s="13">
        <v>90</v>
      </c>
    </row>
    <row r="16" spans="1:3" x14ac:dyDescent="0.25">
      <c r="A16" s="10">
        <v>534511</v>
      </c>
      <c r="B16" s="12" t="s">
        <v>420</v>
      </c>
      <c r="C16" s="13">
        <v>35</v>
      </c>
    </row>
    <row r="17" spans="1:3" x14ac:dyDescent="0.25">
      <c r="A17" s="10">
        <v>534542</v>
      </c>
      <c r="B17" s="12" t="s">
        <v>421</v>
      </c>
      <c r="C17" s="13">
        <v>359</v>
      </c>
    </row>
    <row r="18" spans="1:3" x14ac:dyDescent="0.25">
      <c r="A18" s="10">
        <v>534808</v>
      </c>
      <c r="B18" s="12" t="s">
        <v>422</v>
      </c>
      <c r="C18" s="13">
        <v>210</v>
      </c>
    </row>
    <row r="19" spans="1:3" x14ac:dyDescent="0.25">
      <c r="A19" s="10">
        <v>212104</v>
      </c>
      <c r="B19" s="12" t="s">
        <v>423</v>
      </c>
      <c r="C19" s="13">
        <v>23</v>
      </c>
    </row>
    <row r="20" spans="1:3" x14ac:dyDescent="0.25">
      <c r="A20" s="10">
        <v>533329</v>
      </c>
      <c r="B20" s="12" t="s">
        <v>424</v>
      </c>
      <c r="C20" s="13">
        <v>400</v>
      </c>
    </row>
    <row r="21" spans="1:3" x14ac:dyDescent="0.25">
      <c r="A21" s="10">
        <v>533330</v>
      </c>
      <c r="B21" s="12" t="s">
        <v>425</v>
      </c>
      <c r="C21" s="13">
        <v>27</v>
      </c>
    </row>
    <row r="22" spans="1:3" x14ac:dyDescent="0.25">
      <c r="A22" s="10">
        <v>533373</v>
      </c>
      <c r="B22" s="12" t="s">
        <v>426</v>
      </c>
      <c r="C22" s="13">
        <v>24</v>
      </c>
    </row>
    <row r="23" spans="1:3" x14ac:dyDescent="0.25">
      <c r="A23" s="10">
        <v>534202</v>
      </c>
      <c r="B23" s="12" t="s">
        <v>427</v>
      </c>
      <c r="C23" s="13">
        <v>293</v>
      </c>
    </row>
    <row r="24" spans="1:3" x14ac:dyDescent="0.25">
      <c r="A24" s="10">
        <v>534203</v>
      </c>
      <c r="B24" s="12" t="s">
        <v>417</v>
      </c>
      <c r="C24" s="13">
        <v>107</v>
      </c>
    </row>
    <row r="25" spans="1:3" x14ac:dyDescent="0.25">
      <c r="A25" s="10">
        <v>540117</v>
      </c>
      <c r="B25" s="12" t="s">
        <v>428</v>
      </c>
      <c r="C25" s="13">
        <v>80</v>
      </c>
    </row>
    <row r="26" spans="1:3" x14ac:dyDescent="0.25">
      <c r="A26" s="10">
        <v>541624</v>
      </c>
      <c r="B26" s="12" t="s">
        <v>429</v>
      </c>
      <c r="C26" s="13">
        <v>80</v>
      </c>
    </row>
    <row r="27" spans="1:3" x14ac:dyDescent="0.25">
      <c r="A27" s="10">
        <v>212001</v>
      </c>
      <c r="B27" s="12" t="s">
        <v>416</v>
      </c>
      <c r="C27" s="13">
        <v>110.5</v>
      </c>
    </row>
    <row r="28" spans="1:3" x14ac:dyDescent="0.25">
      <c r="A28" s="10">
        <v>534203</v>
      </c>
      <c r="B28" s="12" t="s">
        <v>417</v>
      </c>
      <c r="C28" s="13">
        <v>1295.0999999999999</v>
      </c>
    </row>
    <row r="29" spans="1:3" x14ac:dyDescent="0.25">
      <c r="A29" s="10">
        <v>535700</v>
      </c>
      <c r="B29" s="12" t="s">
        <v>430</v>
      </c>
      <c r="C29" s="13">
        <v>100</v>
      </c>
    </row>
    <row r="30" spans="1:3" x14ac:dyDescent="0.25">
      <c r="A30" s="10">
        <v>535702</v>
      </c>
      <c r="B30" s="12" t="s">
        <v>431</v>
      </c>
      <c r="C30" s="13">
        <v>480</v>
      </c>
    </row>
    <row r="31" spans="1:3" x14ac:dyDescent="0.25">
      <c r="A31" s="10">
        <v>535805</v>
      </c>
      <c r="B31" s="12" t="s">
        <v>432</v>
      </c>
      <c r="C31" s="13">
        <v>480</v>
      </c>
    </row>
    <row r="32" spans="1:3" x14ac:dyDescent="0.25">
      <c r="A32" s="10">
        <v>540024</v>
      </c>
      <c r="B32" s="12" t="s">
        <v>433</v>
      </c>
      <c r="C32" s="13">
        <v>144</v>
      </c>
    </row>
    <row r="33" spans="1:3" x14ac:dyDescent="0.25">
      <c r="A33" s="10">
        <v>540035</v>
      </c>
      <c r="B33" s="12" t="s">
        <v>434</v>
      </c>
      <c r="C33" s="13">
        <v>180</v>
      </c>
    </row>
    <row r="34" spans="1:3" x14ac:dyDescent="0.25">
      <c r="A34" s="10">
        <v>540036</v>
      </c>
      <c r="B34" s="12" t="s">
        <v>435</v>
      </c>
      <c r="C34" s="13">
        <v>48</v>
      </c>
    </row>
    <row r="35" spans="1:3" x14ac:dyDescent="0.25">
      <c r="A35" s="10">
        <v>540106</v>
      </c>
      <c r="B35" s="12" t="s">
        <v>436</v>
      </c>
      <c r="C35" s="13">
        <v>180</v>
      </c>
    </row>
    <row r="36" spans="1:3" x14ac:dyDescent="0.25">
      <c r="A36" s="10">
        <v>540304</v>
      </c>
      <c r="B36" s="12" t="s">
        <v>437</v>
      </c>
      <c r="C36" s="13">
        <v>120</v>
      </c>
    </row>
    <row r="37" spans="1:3" x14ac:dyDescent="0.25">
      <c r="A37" s="10">
        <v>540305</v>
      </c>
      <c r="B37" s="12" t="s">
        <v>438</v>
      </c>
      <c r="C37" s="13">
        <v>120</v>
      </c>
    </row>
    <row r="38" spans="1:3" x14ac:dyDescent="0.25">
      <c r="A38" s="10">
        <v>540316</v>
      </c>
      <c r="B38" s="12" t="s">
        <v>439</v>
      </c>
      <c r="C38" s="13">
        <v>360</v>
      </c>
    </row>
    <row r="39" spans="1:3" x14ac:dyDescent="0.25">
      <c r="A39" s="10">
        <v>541504</v>
      </c>
      <c r="B39" s="12" t="s">
        <v>440</v>
      </c>
      <c r="C39" s="13">
        <v>108</v>
      </c>
    </row>
    <row r="40" spans="1:3" x14ac:dyDescent="0.25">
      <c r="A40" s="10">
        <v>541505</v>
      </c>
      <c r="B40" s="12" t="s">
        <v>441</v>
      </c>
      <c r="C40" s="13">
        <v>90</v>
      </c>
    </row>
    <row r="41" spans="1:3" x14ac:dyDescent="0.25">
      <c r="A41" s="10">
        <v>541510</v>
      </c>
      <c r="B41" s="12" t="s">
        <v>442</v>
      </c>
      <c r="C41" s="13">
        <v>216</v>
      </c>
    </row>
    <row r="42" spans="1:3" x14ac:dyDescent="0.25">
      <c r="A42" s="10">
        <v>530321</v>
      </c>
      <c r="B42" s="12" t="s">
        <v>443</v>
      </c>
      <c r="C42" s="13">
        <v>210</v>
      </c>
    </row>
    <row r="43" spans="1:3" x14ac:dyDescent="0.25">
      <c r="A43" s="10">
        <v>531521</v>
      </c>
      <c r="B43" s="12" t="s">
        <v>444</v>
      </c>
      <c r="C43" s="13">
        <v>369.4</v>
      </c>
    </row>
    <row r="44" spans="1:3" x14ac:dyDescent="0.25">
      <c r="A44" s="10">
        <v>540094</v>
      </c>
      <c r="B44" s="12" t="s">
        <v>445</v>
      </c>
      <c r="C44" s="13">
        <v>96</v>
      </c>
    </row>
    <row r="45" spans="1:3" x14ac:dyDescent="0.25">
      <c r="A45" s="10">
        <v>540102</v>
      </c>
      <c r="B45" s="12" t="s">
        <v>446</v>
      </c>
      <c r="C45" s="13">
        <v>48</v>
      </c>
    </row>
    <row r="46" spans="1:3" x14ac:dyDescent="0.25">
      <c r="A46" s="10">
        <v>542040</v>
      </c>
      <c r="B46" s="12" t="s">
        <v>447</v>
      </c>
      <c r="C46" s="13">
        <v>300</v>
      </c>
    </row>
    <row r="47" spans="1:3" x14ac:dyDescent="0.25">
      <c r="A47" s="10">
        <v>544100</v>
      </c>
      <c r="B47" s="12" t="s">
        <v>448</v>
      </c>
      <c r="C47" s="13">
        <v>48</v>
      </c>
    </row>
    <row r="48" spans="1:3" x14ac:dyDescent="0.25">
      <c r="A48" s="10">
        <v>521802</v>
      </c>
      <c r="B48" s="12" t="s">
        <v>449</v>
      </c>
      <c r="C48" s="13">
        <v>12</v>
      </c>
    </row>
    <row r="49" spans="1:3" x14ac:dyDescent="0.25">
      <c r="A49" s="10">
        <v>521817</v>
      </c>
      <c r="B49" s="12" t="s">
        <v>450</v>
      </c>
      <c r="C49" s="13">
        <v>27.2</v>
      </c>
    </row>
    <row r="50" spans="1:3" x14ac:dyDescent="0.25">
      <c r="A50" s="10">
        <v>521818</v>
      </c>
      <c r="B50" s="12" t="s">
        <v>451</v>
      </c>
      <c r="C50" s="13">
        <v>7.3</v>
      </c>
    </row>
    <row r="51" spans="1:3" x14ac:dyDescent="0.25">
      <c r="A51" s="10">
        <v>530021</v>
      </c>
      <c r="B51" s="12" t="s">
        <v>452</v>
      </c>
      <c r="C51" s="13">
        <v>18</v>
      </c>
    </row>
    <row r="52" spans="1:3" x14ac:dyDescent="0.25">
      <c r="A52" s="10">
        <v>530023</v>
      </c>
      <c r="B52" s="12" t="s">
        <v>453</v>
      </c>
      <c r="C52" s="13">
        <v>100</v>
      </c>
    </row>
    <row r="53" spans="1:3" x14ac:dyDescent="0.25">
      <c r="A53" s="10">
        <v>543042</v>
      </c>
      <c r="B53" s="12" t="s">
        <v>454</v>
      </c>
      <c r="C53" s="13">
        <v>400</v>
      </c>
    </row>
    <row r="54" spans="1:3" x14ac:dyDescent="0.25">
      <c r="A54" s="10">
        <v>211019</v>
      </c>
      <c r="B54" s="12" t="s">
        <v>455</v>
      </c>
      <c r="C54" s="13">
        <v>120</v>
      </c>
    </row>
    <row r="55" spans="1:3" x14ac:dyDescent="0.25">
      <c r="A55" s="10">
        <v>534556</v>
      </c>
      <c r="B55" s="12" t="s">
        <v>456</v>
      </c>
      <c r="C55" s="13">
        <v>180</v>
      </c>
    </row>
    <row r="56" spans="1:3" x14ac:dyDescent="0.25">
      <c r="A56" s="10">
        <v>534557</v>
      </c>
      <c r="B56" s="12" t="s">
        <v>457</v>
      </c>
      <c r="C56" s="13">
        <v>100</v>
      </c>
    </row>
    <row r="57" spans="1:3" x14ac:dyDescent="0.25">
      <c r="A57" s="10">
        <v>540012</v>
      </c>
      <c r="B57" s="12" t="s">
        <v>458</v>
      </c>
      <c r="C57" s="13">
        <v>720</v>
      </c>
    </row>
    <row r="58" spans="1:3" x14ac:dyDescent="0.25">
      <c r="A58" s="10">
        <v>540096</v>
      </c>
      <c r="B58" s="12" t="s">
        <v>459</v>
      </c>
      <c r="C58" s="13">
        <v>120</v>
      </c>
    </row>
    <row r="59" spans="1:3" x14ac:dyDescent="0.25">
      <c r="A59" s="10">
        <v>540098</v>
      </c>
      <c r="B59" s="12" t="s">
        <v>460</v>
      </c>
      <c r="C59" s="13">
        <v>56</v>
      </c>
    </row>
    <row r="60" spans="1:3" x14ac:dyDescent="0.25">
      <c r="A60" s="10">
        <v>540098</v>
      </c>
      <c r="B60" s="12" t="s">
        <v>460</v>
      </c>
      <c r="C60" s="13">
        <v>36</v>
      </c>
    </row>
    <row r="61" spans="1:3" x14ac:dyDescent="0.25">
      <c r="A61" s="10">
        <v>541620</v>
      </c>
      <c r="B61" s="12" t="s">
        <v>461</v>
      </c>
      <c r="C61" s="13">
        <v>40</v>
      </c>
    </row>
    <row r="62" spans="1:3" x14ac:dyDescent="0.25">
      <c r="A62" s="10">
        <v>541622</v>
      </c>
      <c r="B62" s="12" t="s">
        <v>462</v>
      </c>
      <c r="C62" s="13">
        <v>40</v>
      </c>
    </row>
    <row r="63" spans="1:3" x14ac:dyDescent="0.25">
      <c r="A63" s="10">
        <v>211500</v>
      </c>
      <c r="B63" s="12" t="s">
        <v>463</v>
      </c>
      <c r="C63" s="13">
        <v>40</v>
      </c>
    </row>
    <row r="64" spans="1:3" x14ac:dyDescent="0.25">
      <c r="A64" s="10">
        <v>533000</v>
      </c>
      <c r="B64" s="12" t="s">
        <v>464</v>
      </c>
      <c r="C64" s="13">
        <v>57.8</v>
      </c>
    </row>
    <row r="65" spans="1:3" x14ac:dyDescent="0.25">
      <c r="A65" s="10">
        <v>533003</v>
      </c>
      <c r="B65" s="12" t="s">
        <v>465</v>
      </c>
      <c r="C65" s="13">
        <v>43.1</v>
      </c>
    </row>
    <row r="66" spans="1:3" x14ac:dyDescent="0.25">
      <c r="A66" s="10">
        <v>533005</v>
      </c>
      <c r="B66" s="12" t="s">
        <v>466</v>
      </c>
      <c r="C66" s="13">
        <v>88.3</v>
      </c>
    </row>
    <row r="67" spans="1:3" x14ac:dyDescent="0.25">
      <c r="A67" s="10">
        <v>540111</v>
      </c>
      <c r="B67" s="12" t="s">
        <v>467</v>
      </c>
      <c r="C67" s="13">
        <v>240</v>
      </c>
    </row>
    <row r="68" spans="1:3" x14ac:dyDescent="0.25">
      <c r="A68" s="10">
        <v>541623</v>
      </c>
      <c r="B68" s="12" t="s">
        <v>468</v>
      </c>
      <c r="C68" s="13">
        <v>80</v>
      </c>
    </row>
    <row r="69" spans="1:3" x14ac:dyDescent="0.25">
      <c r="A69" s="10">
        <v>542037</v>
      </c>
      <c r="B69" s="12" t="s">
        <v>469</v>
      </c>
      <c r="C69" s="13">
        <v>40</v>
      </c>
    </row>
    <row r="70" spans="1:3" x14ac:dyDescent="0.25">
      <c r="A70" s="10">
        <v>542038</v>
      </c>
      <c r="B70" s="12" t="s">
        <v>470</v>
      </c>
      <c r="C70" s="13">
        <v>40</v>
      </c>
    </row>
    <row r="71" spans="1:3" x14ac:dyDescent="0.25">
      <c r="A71" s="10">
        <v>542041</v>
      </c>
      <c r="B71" s="12" t="s">
        <v>471</v>
      </c>
      <c r="C71" s="13">
        <v>60</v>
      </c>
    </row>
    <row r="72" spans="1:3" x14ac:dyDescent="0.25">
      <c r="A72" s="10">
        <v>541515</v>
      </c>
      <c r="B72" s="12" t="s">
        <v>472</v>
      </c>
      <c r="C72" s="13">
        <v>144</v>
      </c>
    </row>
    <row r="73" spans="1:3" x14ac:dyDescent="0.25">
      <c r="A73" s="10">
        <v>541516</v>
      </c>
      <c r="B73" s="12" t="s">
        <v>473</v>
      </c>
      <c r="C73" s="13">
        <v>54</v>
      </c>
    </row>
    <row r="74" spans="1:3" x14ac:dyDescent="0.25">
      <c r="A74" s="10">
        <v>541517</v>
      </c>
      <c r="B74" s="12" t="s">
        <v>474</v>
      </c>
      <c r="C74" s="13">
        <v>72</v>
      </c>
    </row>
    <row r="75" spans="1:3" x14ac:dyDescent="0.25">
      <c r="A75" s="10">
        <v>541522</v>
      </c>
      <c r="B75" s="12" t="s">
        <v>475</v>
      </c>
      <c r="C75" s="13">
        <v>140</v>
      </c>
    </row>
    <row r="76" spans="1:3" x14ac:dyDescent="0.25">
      <c r="A76" s="10">
        <v>541525</v>
      </c>
      <c r="B76" s="12" t="s">
        <v>476</v>
      </c>
      <c r="C76" s="13">
        <v>220</v>
      </c>
    </row>
    <row r="77" spans="1:3" x14ac:dyDescent="0.25">
      <c r="A77" s="10">
        <v>541533</v>
      </c>
      <c r="B77" s="12" t="s">
        <v>477</v>
      </c>
      <c r="C77" s="13">
        <v>60</v>
      </c>
    </row>
    <row r="78" spans="1:3" x14ac:dyDescent="0.25">
      <c r="A78" s="10">
        <v>541605</v>
      </c>
      <c r="B78" s="12" t="s">
        <v>478</v>
      </c>
      <c r="C78" s="13">
        <v>144</v>
      </c>
    </row>
    <row r="79" spans="1:3" x14ac:dyDescent="0.25">
      <c r="A79" s="10">
        <v>541611</v>
      </c>
      <c r="B79" s="12" t="s">
        <v>479</v>
      </c>
      <c r="C79" s="13">
        <v>17</v>
      </c>
    </row>
    <row r="80" spans="1:3" x14ac:dyDescent="0.25">
      <c r="A80" s="10">
        <v>541617</v>
      </c>
      <c r="B80" s="12" t="s">
        <v>480</v>
      </c>
      <c r="C80" s="13">
        <v>60</v>
      </c>
    </row>
    <row r="81" spans="1:3" x14ac:dyDescent="0.25">
      <c r="A81" s="10">
        <v>542035</v>
      </c>
      <c r="B81" s="12" t="s">
        <v>481</v>
      </c>
      <c r="C81" s="13">
        <v>400</v>
      </c>
    </row>
    <row r="82" spans="1:3" x14ac:dyDescent="0.25">
      <c r="A82" s="10">
        <v>501762</v>
      </c>
      <c r="B82" s="12" t="s">
        <v>482</v>
      </c>
      <c r="C82" s="13">
        <v>522.20000000000005</v>
      </c>
    </row>
    <row r="83" spans="1:3" x14ac:dyDescent="0.25">
      <c r="A83" s="10">
        <v>503710</v>
      </c>
      <c r="B83" s="12" t="s">
        <v>483</v>
      </c>
      <c r="C83" s="13">
        <v>11.2</v>
      </c>
    </row>
    <row r="84" spans="1:3" x14ac:dyDescent="0.25">
      <c r="A84" s="10">
        <v>503962</v>
      </c>
      <c r="B84" s="12" t="s">
        <v>484</v>
      </c>
      <c r="C84" s="13">
        <v>15.4</v>
      </c>
    </row>
    <row r="85" spans="1:3" x14ac:dyDescent="0.25">
      <c r="A85" s="10">
        <v>504800</v>
      </c>
      <c r="B85" s="12" t="s">
        <v>485</v>
      </c>
      <c r="C85" s="13">
        <v>40</v>
      </c>
    </row>
    <row r="86" spans="1:3" x14ac:dyDescent="0.25">
      <c r="A86" s="10">
        <v>504803</v>
      </c>
      <c r="B86" s="12" t="s">
        <v>486</v>
      </c>
      <c r="C86" s="13">
        <v>40</v>
      </c>
    </row>
    <row r="87" spans="1:3" x14ac:dyDescent="0.25">
      <c r="A87" s="10">
        <v>510308</v>
      </c>
      <c r="B87" s="12" t="s">
        <v>487</v>
      </c>
      <c r="C87" s="13">
        <v>6.3</v>
      </c>
    </row>
    <row r="88" spans="1:3" x14ac:dyDescent="0.25">
      <c r="A88" s="10">
        <v>511254</v>
      </c>
      <c r="B88" s="12" t="s">
        <v>488</v>
      </c>
      <c r="C88" s="13">
        <v>18.100000000000001</v>
      </c>
    </row>
    <row r="89" spans="1:3" x14ac:dyDescent="0.25">
      <c r="A89" s="10">
        <v>512349</v>
      </c>
      <c r="B89" s="12" t="s">
        <v>489</v>
      </c>
      <c r="C89" s="13">
        <v>65.8</v>
      </c>
    </row>
    <row r="90" spans="1:3" x14ac:dyDescent="0.25">
      <c r="A90" s="10">
        <v>520303</v>
      </c>
      <c r="B90" s="12" t="s">
        <v>490</v>
      </c>
      <c r="C90" s="13">
        <v>210</v>
      </c>
    </row>
    <row r="91" spans="1:3" x14ac:dyDescent="0.25">
      <c r="A91" s="10">
        <v>521527</v>
      </c>
      <c r="B91" s="12" t="s">
        <v>491</v>
      </c>
      <c r="C91" s="13">
        <v>53.5</v>
      </c>
    </row>
    <row r="92" spans="1:3" x14ac:dyDescent="0.25">
      <c r="A92" s="10">
        <v>533328</v>
      </c>
      <c r="B92" s="12" t="s">
        <v>492</v>
      </c>
      <c r="C92" s="1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2026-09-30T22:32:28Z</dcterms:created>
  <dcterms:modified xsi:type="dcterms:W3CDTF">2026-09-30T22:53:34Z</dcterms:modified>
</cp:coreProperties>
</file>