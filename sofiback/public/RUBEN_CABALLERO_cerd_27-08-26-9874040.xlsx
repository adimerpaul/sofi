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<sst xmlns="http://schemas.openxmlformats.org/spreadsheetml/2006/main" uniqueCount="32">
  <si>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 E D I D O S    DE   C E R D O S</t>
  </si>
  <si>
    <t>NOMBRE VENDEDOR :</t>
  </si>
  <si>
    <t>RUBEN CABALLERO</t>
  </si>
  <si>
    <t>FECHA:</t>
  </si>
  <si>
    <t>2026-08-26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</si>
  <si>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</si>
  <si>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</si>
  <si>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</si>
  <si>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</si>
  <si>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</si>
  <si>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</si>
  <si>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</si>
  <si>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</si>
  <si>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</si>
  <si>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</si>
  <si>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</si>
  <si>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</si>
  <si>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</si>
  <si>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</si>
  <si>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ROCIO TOPORI CAYO</t>
  </si>
  <si>
    <t>si</t>
  </si>
  <si>
    <t>NO</t>
  </si>
  <si>
    <t xml:space="preserve"> </t>
  </si>
  <si>
    <t>EULOGIA MAMANI ROQUE</t>
  </si>
  <si>
    <t>ESCARLEN MARISCAL ROGELIO PASO DE LOS TOROS</t>
  </si>
  <si>
    <t>CINTIA MARLENE MAMANI BENITO</t>
  </si>
  <si>
    <t>Mediano el cerdo</t>
  </si>
  <si>
    <t>YERCO COCHA FEBRERO</t>
  </si>
  <si>
    <t>MARIA CHAMBI MENDOZA</t>
  </si>
  <si>
    <t>Corte lechón</t>
  </si>
  <si>
    <t>EDDY CONTRERAS ARNEZ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</si>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</sst>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 t="s">
        <v>19</v>
      </c>
      <c r="C6" s="12">
        <v>3.0</v>
      </c>
      <c r="D6" s="13">
        <f>+E6+F6+(IF(G6=(0.5),0.275,0))+H6+(I6/100)</f>
        <v>1</v>
      </c>
      <c r="E6" s="14"/>
      <c r="F6" s="15">
        <v>1</v>
      </c>
      <c r="G6" s="16"/>
      <c r="H6" s="14"/>
      <c r="I6" s="14"/>
      <c r="J6" s="17"/>
      <c r="K6" s="29"/>
      <c r="L6" s="30"/>
      <c r="M6" s="30"/>
      <c r="N6" s="30"/>
      <c r="O6" s="30"/>
      <c r="P6" s="30"/>
      <c r="Q6" s="30"/>
      <c r="R6" s="30"/>
      <c r="S6" s="41"/>
      <c r="T6" s="31"/>
      <c r="U6" s="17" t="s">
        <v>20</v>
      </c>
      <c r="V6" s="17" t="s">
        <v>21</v>
      </c>
      <c r="W6" s="17"/>
      <c r="X6" s="17" t="s">
        <v>22</v>
      </c>
    </row>
    <row r="7" spans="1:24" customHeight="1" ht="24.95" s="25" customFormat="1">
      <c r="A7" s="27">
        <f>+A6+1</f>
        <v>2</v>
      </c>
      <c r="B7" s="18" t="s">
        <v>23</v>
      </c>
      <c r="C7" s="19">
        <v>3.0</v>
      </c>
      <c r="D7" s="20">
        <f>+E7+F7+(IF(G7=(0.5),0.275,0))+H7+(I7/100)</f>
        <v>0.5</v>
      </c>
      <c r="E7" s="21"/>
      <c r="F7" s="22">
        <v>0.5</v>
      </c>
      <c r="G7" s="23"/>
      <c r="H7" s="21"/>
      <c r="I7" s="21"/>
      <c r="J7" s="24"/>
      <c r="K7" s="32"/>
      <c r="L7" s="33"/>
      <c r="M7" s="33"/>
      <c r="N7" s="33"/>
      <c r="O7" s="33"/>
      <c r="P7" s="33"/>
      <c r="Q7" s="33"/>
      <c r="R7" s="33"/>
      <c r="S7" s="42"/>
      <c r="T7" s="34"/>
      <c r="U7" s="24" t="s">
        <v>20</v>
      </c>
      <c r="V7" s="24" t="s">
        <v>21</v>
      </c>
      <c r="W7" s="24"/>
      <c r="X7" s="24" t="s">
        <v>22</v>
      </c>
    </row>
    <row r="8" spans="1:24" customHeight="1" ht="24.95">
      <c r="A8" s="28">
        <f>+A7+1</f>
        <v>3</v>
      </c>
      <c r="B8" s="11" t="s">
        <v>24</v>
      </c>
      <c r="C8" s="12">
        <v>2.0</v>
      </c>
      <c r="D8" s="13">
        <f>+E8+F8+(IF(G8=(0.5),0.275,0))+H8+(I8/100)</f>
        <v>2</v>
      </c>
      <c r="E8" s="14"/>
      <c r="F8" s="15">
        <v>2</v>
      </c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 t="s">
        <v>20</v>
      </c>
      <c r="V8" s="17" t="s">
        <v>21</v>
      </c>
      <c r="W8" s="17"/>
      <c r="X8" s="17" t="s">
        <v>22</v>
      </c>
    </row>
    <row r="9" spans="1:24" customHeight="1" ht="24.95" s="25" customFormat="1">
      <c r="A9" s="27">
        <f>+A8+1</f>
        <v>4</v>
      </c>
      <c r="B9" s="18" t="s">
        <v>25</v>
      </c>
      <c r="C9" s="19">
        <v>3.0</v>
      </c>
      <c r="D9" s="20">
        <f>+E9+F9+(IF(G9=(0.5),0.275,0))+H9+(I9/100)</f>
        <v>1</v>
      </c>
      <c r="E9" s="21">
        <v>1</v>
      </c>
      <c r="F9" s="22"/>
      <c r="G9" s="23"/>
      <c r="H9" s="21"/>
      <c r="I9" s="21"/>
      <c r="J9" s="24" t="s">
        <v>26</v>
      </c>
      <c r="K9" s="32"/>
      <c r="L9" s="33"/>
      <c r="M9" s="33"/>
      <c r="N9" s="33"/>
      <c r="O9" s="33"/>
      <c r="P9" s="33"/>
      <c r="Q9" s="33"/>
      <c r="R9" s="33"/>
      <c r="S9" s="42"/>
      <c r="T9" s="34"/>
      <c r="U9" s="24" t="s">
        <v>20</v>
      </c>
      <c r="V9" s="24" t="s">
        <v>21</v>
      </c>
      <c r="W9" s="24"/>
      <c r="X9" s="24" t="s">
        <v>22</v>
      </c>
    </row>
    <row r="10" spans="1:24" customHeight="1" ht="24.95">
      <c r="A10" s="28">
        <f>+A9+1</f>
        <v>5</v>
      </c>
      <c r="B10" s="11" t="s">
        <v>27</v>
      </c>
      <c r="C10" s="12">
        <v>2.0</v>
      </c>
      <c r="D10" s="13">
        <f>+E10+F10+(IF(G10=(0.5),0.275,0))+H10+(I10/100)</f>
        <v>1</v>
      </c>
      <c r="E10" s="14"/>
      <c r="F10" s="15">
        <v>1</v>
      </c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 t="s">
        <v>20</v>
      </c>
      <c r="V10" s="17" t="s">
        <v>21</v>
      </c>
      <c r="W10" s="17"/>
      <c r="X10" s="17" t="s">
        <v>22</v>
      </c>
    </row>
    <row r="11" spans="1:24" customHeight="1" ht="24.95" s="25" customFormat="1">
      <c r="A11" s="27">
        <f>+A10+1</f>
        <v>6</v>
      </c>
      <c r="B11" s="18" t="s">
        <v>28</v>
      </c>
      <c r="C11" s="19">
        <v>2.0</v>
      </c>
      <c r="D11" s="20">
        <f>+E11+F11+(IF(G11=(0.5),0.275,0))+H11+(I11/100)</f>
        <v>0.5</v>
      </c>
      <c r="E11" s="21"/>
      <c r="F11" s="22"/>
      <c r="G11" s="23"/>
      <c r="H11" s="21">
        <v>0.5</v>
      </c>
      <c r="I11" s="21"/>
      <c r="J11" s="24" t="s">
        <v>29</v>
      </c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 t="s">
        <v>20</v>
      </c>
      <c r="V11" s="24" t="s">
        <v>21</v>
      </c>
      <c r="W11" s="24"/>
      <c r="X11" s="24" t="s">
        <v>22</v>
      </c>
    </row>
    <row r="12" spans="1:24" customHeight="1" ht="24.95">
      <c r="A12" s="28">
        <f>+A11+1</f>
        <v>7</v>
      </c>
      <c r="B12" s="11" t="s">
        <v>30</v>
      </c>
      <c r="C12" s="12">
        <v>3.0</v>
      </c>
      <c r="D12" s="13">
        <f>+E12+F12+(IF(G12=(0.5),0.275,0))+H12+(I12/100)</f>
        <v>0.5</v>
      </c>
      <c r="E12" s="14"/>
      <c r="F12" s="15">
        <v>0.5</v>
      </c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 t="s">
        <v>20</v>
      </c>
      <c r="V12" s="17" t="s">
        <v>21</v>
      </c>
      <c r="W12" s="17"/>
      <c r="X12" s="17" t="s">
        <v>22</v>
      </c>
    </row>
    <row r="13" spans="1:24" customHeight="1" ht="24.95" s="25" customFormat="1">
      <c r="A13" s="27">
        <f>+A12+1</f>
        <v>8</v>
      </c>
      <c r="B13" s="18" t="s">
        <v>19</v>
      </c>
      <c r="C13" s="19">
        <v>3.0</v>
      </c>
      <c r="D13" s="20">
        <f>+E13+F13+(IF(G13=(0.5),0.275,0))+H13+(I13/100)</f>
        <v>1</v>
      </c>
      <c r="E13" s="21"/>
      <c r="F13" s="22">
        <v>1</v>
      </c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 t="s">
        <v>20</v>
      </c>
      <c r="V13" s="24" t="s">
        <v>21</v>
      </c>
      <c r="W13" s="24"/>
      <c r="X13" s="24" t="s">
        <v>22</v>
      </c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7.5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0.5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31</v>
      </c>
      <c r="C32" s="6"/>
      <c r="D32" s="8">
        <f>IF(K30&gt;0.54,(INT(K29)+1)+(K30-0.55),K29)</f>
        <v>7.5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